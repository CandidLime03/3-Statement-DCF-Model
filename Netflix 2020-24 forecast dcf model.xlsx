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jesvi\Downloads\"/>
    </mc:Choice>
  </mc:AlternateContent>
  <xr:revisionPtr revIDLastSave="0" documentId="13_ncr:1_{2DD17502-D7D4-4261-B8AA-0F59B2771D45}" xr6:coauthVersionLast="47" xr6:coauthVersionMax="47" xr10:uidLastSave="{00000000-0000-0000-0000-000000000000}"/>
  <bookViews>
    <workbookView xWindow="-110" yWindow="-110" windowWidth="19420" windowHeight="10300" firstSheet="4" activeTab="9" xr2:uid="{00000000-000D-0000-FFFF-FFFF00000000}"/>
  </bookViews>
  <sheets>
    <sheet name="P&amp;L Input" sheetId="1" r:id="rId1"/>
    <sheet name="Balance Sheet Input" sheetId="2" r:id="rId2"/>
    <sheet name="Revenue Modelling" sheetId="3" r:id="rId3"/>
    <sheet name="Other Items" sheetId="4" r:id="rId4"/>
    <sheet name="Schedules" sheetId="5" r:id="rId5"/>
    <sheet name="P&amp;L" sheetId="6" r:id="rId6"/>
    <sheet name="Balance Sheet" sheetId="7" r:id="rId7"/>
    <sheet name="Cashflow Statement" sheetId="8" r:id="rId8"/>
    <sheet name="WACC" sheetId="9" r:id="rId9"/>
    <sheet name="DCF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5" roundtripDataChecksum="P9VddcxXwJHaMhXxuDdy2UtXyDttvPSrZnf7mPWieuc="/>
    </ext>
  </extLst>
</workbook>
</file>

<file path=xl/calcChain.xml><?xml version="1.0" encoding="utf-8"?>
<calcChain xmlns="http://schemas.openxmlformats.org/spreadsheetml/2006/main">
  <c r="H23" i="4" l="1"/>
  <c r="G23" i="4"/>
  <c r="F23" i="4"/>
  <c r="E23" i="4"/>
  <c r="E5" i="10"/>
  <c r="D5" i="10"/>
  <c r="C5" i="10"/>
  <c r="B5" i="10"/>
  <c r="B13" i="9"/>
  <c r="B12" i="9"/>
  <c r="H23" i="7"/>
  <c r="G23" i="7"/>
  <c r="F23" i="7"/>
  <c r="E23" i="7"/>
  <c r="H22" i="8"/>
  <c r="G22" i="8"/>
  <c r="F22" i="8"/>
  <c r="E22" i="8"/>
  <c r="H7" i="7"/>
  <c r="G7" i="7"/>
  <c r="F7" i="7"/>
  <c r="E7" i="7"/>
  <c r="H15" i="8"/>
  <c r="G15" i="8"/>
  <c r="F15" i="8"/>
  <c r="E15" i="8"/>
  <c r="H12" i="8"/>
  <c r="G12" i="8"/>
  <c r="F12" i="8"/>
  <c r="E12" i="8"/>
  <c r="H19" i="7"/>
  <c r="G19" i="7"/>
  <c r="F19" i="7"/>
  <c r="E19" i="7"/>
  <c r="H17" i="7"/>
  <c r="G17" i="7"/>
  <c r="F17" i="7"/>
  <c r="E17" i="7"/>
  <c r="H11" i="8"/>
  <c r="G11" i="8"/>
  <c r="F11" i="8"/>
  <c r="E11" i="8"/>
  <c r="H24" i="8"/>
  <c r="G24" i="8"/>
  <c r="F24" i="8"/>
  <c r="H9" i="8"/>
  <c r="G9" i="8"/>
  <c r="F9" i="8"/>
  <c r="E9" i="8"/>
  <c r="H10" i="7"/>
  <c r="G10" i="7"/>
  <c r="F10" i="7"/>
  <c r="E10" i="7"/>
  <c r="H18" i="8"/>
  <c r="G18" i="8"/>
  <c r="F18" i="8"/>
  <c r="E18" i="8"/>
  <c r="F30" i="7"/>
  <c r="F29" i="7"/>
  <c r="F28" i="7"/>
  <c r="F27" i="7"/>
  <c r="F24" i="7"/>
  <c r="F22" i="7"/>
  <c r="F20" i="7"/>
  <c r="F16" i="7"/>
  <c r="F11" i="7"/>
  <c r="E7" i="8"/>
  <c r="H7" i="8"/>
  <c r="G7" i="8"/>
  <c r="F7" i="8"/>
  <c r="E24" i="8"/>
  <c r="E19" i="6"/>
  <c r="H5" i="4"/>
  <c r="G5" i="4"/>
  <c r="F5" i="4"/>
  <c r="E5" i="4"/>
  <c r="C4" i="4"/>
  <c r="D4" i="4"/>
  <c r="H26" i="4"/>
  <c r="G26" i="4"/>
  <c r="F26" i="4"/>
  <c r="E26" i="4"/>
  <c r="H17" i="4"/>
  <c r="G17" i="4"/>
  <c r="F17" i="4"/>
  <c r="E17" i="4"/>
  <c r="H14" i="4"/>
  <c r="G14" i="4"/>
  <c r="F14" i="4"/>
  <c r="E14" i="4"/>
  <c r="H11" i="4"/>
  <c r="G11" i="4"/>
  <c r="F11" i="4"/>
  <c r="E11" i="4"/>
  <c r="E8" i="4"/>
  <c r="H8" i="4"/>
  <c r="G8" i="4"/>
  <c r="F8" i="4"/>
  <c r="F5" i="3"/>
  <c r="E5" i="3"/>
  <c r="E32" i="3"/>
  <c r="H25" i="3"/>
  <c r="G25" i="3"/>
  <c r="F25" i="3"/>
  <c r="E25" i="3"/>
  <c r="H34" i="3"/>
  <c r="F34" i="3"/>
  <c r="E34" i="3"/>
  <c r="H27" i="3"/>
  <c r="G27" i="3"/>
  <c r="F27" i="3"/>
  <c r="E18" i="3"/>
  <c r="H20" i="3"/>
  <c r="F20" i="3"/>
  <c r="E20" i="3"/>
  <c r="F17" i="8"/>
  <c r="E28" i="7"/>
  <c r="E29" i="7"/>
  <c r="E27" i="7"/>
  <c r="E24" i="7"/>
  <c r="E22" i="7"/>
  <c r="E20" i="7"/>
  <c r="E16" i="7"/>
  <c r="E11" i="7"/>
  <c r="H23" i="8"/>
  <c r="G23" i="8"/>
  <c r="F23" i="8"/>
  <c r="E23" i="8"/>
  <c r="D19" i="6"/>
  <c r="C19" i="6"/>
  <c r="B19" i="6"/>
  <c r="D17" i="6"/>
  <c r="C17" i="6"/>
  <c r="B17" i="6"/>
  <c r="H16" i="6"/>
  <c r="G16" i="6"/>
  <c r="F16" i="6"/>
  <c r="E16" i="6"/>
  <c r="D16" i="6"/>
  <c r="C16" i="6"/>
  <c r="B16" i="6"/>
  <c r="B4" i="4"/>
  <c r="H14" i="6"/>
  <c r="G14" i="6"/>
  <c r="F14" i="6"/>
  <c r="E14" i="6"/>
  <c r="D14" i="6"/>
  <c r="C14" i="6"/>
  <c r="B14" i="6"/>
  <c r="D12" i="6"/>
  <c r="C12" i="6"/>
  <c r="D11" i="6"/>
  <c r="C11" i="6"/>
  <c r="B12" i="6"/>
  <c r="B11" i="6"/>
  <c r="D10" i="6"/>
  <c r="C10" i="6"/>
  <c r="B10" i="6"/>
  <c r="D5" i="6"/>
  <c r="C5" i="6"/>
  <c r="B5" i="6"/>
  <c r="D4" i="6"/>
  <c r="C4" i="6"/>
  <c r="B4" i="6"/>
  <c r="H27" i="5"/>
  <c r="G27" i="5"/>
  <c r="F27" i="5"/>
  <c r="E27" i="5"/>
  <c r="H28" i="5"/>
  <c r="G28" i="5"/>
  <c r="F28" i="5"/>
  <c r="E28" i="5"/>
  <c r="F25" i="5"/>
  <c r="E25" i="5"/>
  <c r="E24" i="5"/>
  <c r="G23" i="5"/>
  <c r="F23" i="5"/>
  <c r="E23" i="5"/>
  <c r="H19" i="5"/>
  <c r="G19" i="5"/>
  <c r="F19" i="5"/>
  <c r="E19" i="5"/>
  <c r="E7" i="5"/>
  <c r="E6" i="5"/>
  <c r="E14" i="5"/>
  <c r="E4" i="5"/>
  <c r="D25" i="4"/>
  <c r="C25" i="4"/>
  <c r="D22" i="4"/>
  <c r="C22" i="4"/>
  <c r="D19" i="4"/>
  <c r="C19" i="4"/>
  <c r="D16" i="4"/>
  <c r="C16" i="4"/>
  <c r="D13" i="4"/>
  <c r="C13" i="4"/>
  <c r="D10" i="4"/>
  <c r="C10" i="4"/>
  <c r="B25" i="4"/>
  <c r="B22" i="4"/>
  <c r="B19" i="4"/>
  <c r="B16" i="4"/>
  <c r="B13" i="4"/>
  <c r="B10" i="4"/>
  <c r="D7" i="4"/>
  <c r="C7" i="4"/>
  <c r="B7" i="4"/>
  <c r="E27" i="3"/>
  <c r="C5" i="3"/>
  <c r="D5" i="3"/>
  <c r="G11" i="3"/>
  <c r="B9" i="9"/>
  <c r="D31" i="7"/>
  <c r="C31" i="7"/>
  <c r="B31" i="7"/>
  <c r="D21" i="7"/>
  <c r="C21" i="7"/>
  <c r="B21" i="7"/>
  <c r="D8" i="7"/>
  <c r="C8" i="7"/>
  <c r="B7" i="7"/>
  <c r="D27" i="5"/>
  <c r="C27" i="5"/>
  <c r="B27" i="5"/>
  <c r="D25" i="5"/>
  <c r="C25" i="5"/>
  <c r="B25" i="5"/>
  <c r="D23" i="5"/>
  <c r="C23" i="5"/>
  <c r="D17" i="5"/>
  <c r="C17" i="5"/>
  <c r="B17" i="5"/>
  <c r="D14" i="5"/>
  <c r="C14" i="5"/>
  <c r="D7" i="5"/>
  <c r="C7" i="5"/>
  <c r="B7" i="5"/>
  <c r="D4" i="5"/>
  <c r="C4" i="5"/>
  <c r="D32" i="3"/>
  <c r="C32" i="3"/>
  <c r="B32" i="3"/>
  <c r="D25" i="3"/>
  <c r="C25" i="3"/>
  <c r="B25" i="3"/>
  <c r="D18" i="3"/>
  <c r="C18" i="3"/>
  <c r="B18" i="3"/>
  <c r="D11" i="3"/>
  <c r="C11" i="3"/>
  <c r="B11" i="3"/>
  <c r="D3" i="3"/>
  <c r="C3" i="3"/>
  <c r="B3" i="3"/>
  <c r="D31" i="2"/>
  <c r="C31" i="2"/>
  <c r="B31" i="2"/>
  <c r="D21" i="2"/>
  <c r="C21" i="2"/>
  <c r="B21" i="2"/>
  <c r="D8" i="2"/>
  <c r="C8" i="2"/>
  <c r="B7" i="2"/>
  <c r="B16" i="9" l="1"/>
  <c r="B15" i="9"/>
  <c r="G30" i="7"/>
  <c r="H30" i="7" s="1"/>
  <c r="G29" i="7"/>
  <c r="H29" i="7" s="1"/>
  <c r="G28" i="7"/>
  <c r="H28" i="7" s="1"/>
  <c r="G27" i="7"/>
  <c r="H27" i="7" s="1"/>
  <c r="G24" i="7"/>
  <c r="H24" i="7" s="1"/>
  <c r="G22" i="7"/>
  <c r="H22" i="7" s="1"/>
  <c r="G20" i="7"/>
  <c r="H20" i="7" s="1"/>
  <c r="G16" i="7"/>
  <c r="H16" i="7" s="1"/>
  <c r="G11" i="7"/>
  <c r="H11" i="7" s="1"/>
  <c r="G5" i="3"/>
  <c r="E4" i="3"/>
  <c r="F32" i="3"/>
  <c r="F18" i="3"/>
  <c r="G20" i="3"/>
  <c r="F19" i="8"/>
  <c r="D6" i="6"/>
  <c r="C6" i="6"/>
  <c r="D7" i="6"/>
  <c r="C7" i="6"/>
  <c r="B7" i="6"/>
  <c r="D8" i="6"/>
  <c r="B6" i="6"/>
  <c r="G25" i="5"/>
  <c r="H23" i="5" s="1"/>
  <c r="H25" i="5" s="1"/>
  <c r="F4" i="5"/>
  <c r="B26" i="4"/>
  <c r="D8" i="4"/>
  <c r="D26" i="4"/>
  <c r="C20" i="4"/>
  <c r="D17" i="4"/>
  <c r="D14" i="4"/>
  <c r="B14" i="4"/>
  <c r="B11" i="4"/>
  <c r="C5" i="4"/>
  <c r="D23" i="4"/>
  <c r="C23" i="4"/>
  <c r="D20" i="4"/>
  <c r="C17" i="4"/>
  <c r="C14" i="4"/>
  <c r="D11" i="4"/>
  <c r="C11" i="4"/>
  <c r="B23" i="4"/>
  <c r="B17" i="4"/>
  <c r="B8" i="4"/>
  <c r="D5" i="4"/>
  <c r="C8" i="4"/>
  <c r="C26" i="4"/>
  <c r="B20" i="4"/>
  <c r="B5" i="4"/>
  <c r="E26" i="3"/>
  <c r="E24" i="3" s="1"/>
  <c r="G32" i="3"/>
  <c r="H32" i="3" s="1"/>
  <c r="F26" i="3"/>
  <c r="C25" i="7"/>
  <c r="C32" i="7" s="1"/>
  <c r="C12" i="7"/>
  <c r="C28" i="5"/>
  <c r="D24" i="5"/>
  <c r="D15" i="5"/>
  <c r="C19" i="3"/>
  <c r="B19" i="3"/>
  <c r="C12" i="3"/>
  <c r="E11" i="3"/>
  <c r="D6" i="3"/>
  <c r="B6" i="3"/>
  <c r="D12" i="2"/>
  <c r="B8" i="2"/>
  <c r="B12" i="2" s="1"/>
  <c r="C9" i="5"/>
  <c r="D5" i="5"/>
  <c r="D9" i="5" s="1"/>
  <c r="E9" i="5" s="1"/>
  <c r="F9" i="5" s="1"/>
  <c r="G9" i="5" s="1"/>
  <c r="H9" i="5" s="1"/>
  <c r="C5" i="5"/>
  <c r="D33" i="3"/>
  <c r="C33" i="3"/>
  <c r="B33" i="3"/>
  <c r="D26" i="3"/>
  <c r="C26" i="3"/>
  <c r="B26" i="3"/>
  <c r="D19" i="3"/>
  <c r="D12" i="3"/>
  <c r="F11" i="3"/>
  <c r="C6" i="3"/>
  <c r="D25" i="2"/>
  <c r="D32" i="2" s="1"/>
  <c r="C12" i="2"/>
  <c r="D25" i="7"/>
  <c r="D32" i="7" s="1"/>
  <c r="B25" i="7"/>
  <c r="B32" i="7" s="1"/>
  <c r="D12" i="7"/>
  <c r="B8" i="7"/>
  <c r="B12" i="7" s="1"/>
  <c r="B28" i="5"/>
  <c r="C24" i="5"/>
  <c r="C15" i="5"/>
  <c r="B12" i="3"/>
  <c r="H11" i="3"/>
  <c r="C25" i="2"/>
  <c r="C32" i="2" s="1"/>
  <c r="B25" i="2"/>
  <c r="B32" i="2" s="1"/>
  <c r="D28" i="5"/>
  <c r="H17" i="8" l="1"/>
  <c r="H19" i="8" s="1"/>
  <c r="G17" i="8"/>
  <c r="G19" i="8" s="1"/>
  <c r="E16" i="5"/>
  <c r="E8" i="8" s="1"/>
  <c r="E10" i="8" s="1"/>
  <c r="E17" i="8"/>
  <c r="E19" i="8" s="1"/>
  <c r="B18" i="9"/>
  <c r="B17" i="10"/>
  <c r="E20" i="4"/>
  <c r="G20" i="4"/>
  <c r="F20" i="4"/>
  <c r="H20" i="4"/>
  <c r="H5" i="3"/>
  <c r="E5" i="6"/>
  <c r="F4" i="3"/>
  <c r="G34" i="3"/>
  <c r="E33" i="3"/>
  <c r="G18" i="3"/>
  <c r="H18" i="3" s="1"/>
  <c r="C8" i="6"/>
  <c r="C13" i="6"/>
  <c r="C15" i="6" s="1"/>
  <c r="B8" i="6"/>
  <c r="B13" i="6" s="1"/>
  <c r="B15" i="6" s="1"/>
  <c r="D13" i="6"/>
  <c r="D15" i="6" s="1"/>
  <c r="F6" i="5"/>
  <c r="F7" i="5"/>
  <c r="G4" i="5" s="1"/>
  <c r="H4" i="4"/>
  <c r="F4" i="4"/>
  <c r="E4" i="4"/>
  <c r="G4" i="4"/>
  <c r="G26" i="3"/>
  <c r="G24" i="3" s="1"/>
  <c r="F24" i="3"/>
  <c r="D20" i="3"/>
  <c r="D13" i="3"/>
  <c r="D34" i="3"/>
  <c r="C34" i="3"/>
  <c r="D27" i="3"/>
  <c r="C27" i="3"/>
  <c r="C19" i="5"/>
  <c r="D19" i="5"/>
  <c r="C20" i="3"/>
  <c r="C13" i="3"/>
  <c r="C35" i="7"/>
  <c r="D35" i="7"/>
  <c r="B35" i="7"/>
  <c r="E17" i="5" l="1"/>
  <c r="G4" i="3"/>
  <c r="F5" i="6"/>
  <c r="F33" i="3"/>
  <c r="E31" i="3"/>
  <c r="C18" i="6"/>
  <c r="B18" i="6"/>
  <c r="G7" i="5"/>
  <c r="H4" i="5" s="1"/>
  <c r="G6" i="5"/>
  <c r="H26" i="3"/>
  <c r="H24" i="3" s="1"/>
  <c r="G13" i="3"/>
  <c r="E19" i="3"/>
  <c r="E17" i="3" s="1"/>
  <c r="F13" i="3"/>
  <c r="H13" i="3"/>
  <c r="E13" i="3"/>
  <c r="E12" i="3" s="1"/>
  <c r="E9" i="7" l="1"/>
  <c r="F14" i="5"/>
  <c r="G5" i="6"/>
  <c r="H4" i="3"/>
  <c r="H5" i="6" s="1"/>
  <c r="G33" i="3"/>
  <c r="F31" i="3"/>
  <c r="E3" i="3"/>
  <c r="E4" i="6"/>
  <c r="E6" i="6" s="1"/>
  <c r="C20" i="6"/>
  <c r="C21" i="6"/>
  <c r="B20" i="6"/>
  <c r="B21" i="6"/>
  <c r="D18" i="6"/>
  <c r="H6" i="5"/>
  <c r="F19" i="3"/>
  <c r="F12" i="3"/>
  <c r="G12" i="3" s="1"/>
  <c r="G10" i="3" s="1"/>
  <c r="E10" i="3"/>
  <c r="F16" i="5" l="1"/>
  <c r="F8" i="8" s="1"/>
  <c r="E6" i="3"/>
  <c r="G31" i="3"/>
  <c r="H33" i="3"/>
  <c r="H31" i="3" s="1"/>
  <c r="E13" i="4"/>
  <c r="E12" i="6" s="1"/>
  <c r="G19" i="3"/>
  <c r="F17" i="3"/>
  <c r="F3" i="3" s="1"/>
  <c r="D20" i="6"/>
  <c r="D21" i="6"/>
  <c r="H7" i="5"/>
  <c r="F10" i="3"/>
  <c r="F17" i="5" l="1"/>
  <c r="E10" i="4"/>
  <c r="E11" i="6" s="1"/>
  <c r="E16" i="4"/>
  <c r="E7" i="4"/>
  <c r="E10" i="6" s="1"/>
  <c r="E25" i="4"/>
  <c r="E22" i="4"/>
  <c r="E19" i="4"/>
  <c r="E7" i="6"/>
  <c r="E8" i="6" s="1"/>
  <c r="G17" i="3"/>
  <c r="G3" i="3" s="1"/>
  <c r="H19" i="3"/>
  <c r="H17" i="3" s="1"/>
  <c r="H3" i="3" s="1"/>
  <c r="F4" i="6"/>
  <c r="F6" i="6" s="1"/>
  <c r="F6" i="3"/>
  <c r="F20" i="6"/>
  <c r="E20" i="6"/>
  <c r="G20" i="6"/>
  <c r="H20" i="6"/>
  <c r="H12" i="3"/>
  <c r="H10" i="3" s="1"/>
  <c r="G14" i="5" l="1"/>
  <c r="F9" i="7"/>
  <c r="G16" i="5"/>
  <c r="G8" i="8" s="1"/>
  <c r="E14" i="8"/>
  <c r="E16" i="8" s="1"/>
  <c r="E21" i="8" s="1"/>
  <c r="B4" i="10" s="1"/>
  <c r="B8" i="10" s="1"/>
  <c r="E18" i="7"/>
  <c r="E21" i="7" s="1"/>
  <c r="E25" i="7" s="1"/>
  <c r="E13" i="6"/>
  <c r="E15" i="6" s="1"/>
  <c r="G4" i="6"/>
  <c r="G6" i="6" s="1"/>
  <c r="G6" i="3"/>
  <c r="H4" i="6"/>
  <c r="H6" i="6" s="1"/>
  <c r="H6" i="3"/>
  <c r="F10" i="4"/>
  <c r="F11" i="6" s="1"/>
  <c r="F25" i="4"/>
  <c r="F16" i="4"/>
  <c r="F22" i="4"/>
  <c r="F7" i="4"/>
  <c r="F10" i="6" s="1"/>
  <c r="F13" i="4"/>
  <c r="F12" i="6" s="1"/>
  <c r="G17" i="5" l="1"/>
  <c r="F18" i="7"/>
  <c r="F21" i="7" s="1"/>
  <c r="F25" i="7" s="1"/>
  <c r="F14" i="8"/>
  <c r="F16" i="8" s="1"/>
  <c r="E18" i="6"/>
  <c r="E4" i="8"/>
  <c r="G13" i="4"/>
  <c r="G12" i="6" s="1"/>
  <c r="G16" i="4"/>
  <c r="G22" i="4"/>
  <c r="G7" i="4"/>
  <c r="G10" i="6" s="1"/>
  <c r="G25" i="4"/>
  <c r="G10" i="4"/>
  <c r="G11" i="6" s="1"/>
  <c r="H25" i="4"/>
  <c r="H10" i="4"/>
  <c r="H11" i="6" s="1"/>
  <c r="H7" i="4"/>
  <c r="H10" i="6" s="1"/>
  <c r="H13" i="4"/>
  <c r="H12" i="6" s="1"/>
  <c r="H16" i="4"/>
  <c r="H22" i="4"/>
  <c r="F19" i="4"/>
  <c r="F7" i="6"/>
  <c r="F8" i="6" s="1"/>
  <c r="F13" i="6" s="1"/>
  <c r="F15" i="6" s="1"/>
  <c r="H14" i="5" l="1"/>
  <c r="G9" i="7"/>
  <c r="G18" i="7"/>
  <c r="G21" i="7" s="1"/>
  <c r="G25" i="7" s="1"/>
  <c r="G14" i="8"/>
  <c r="G16" i="8" s="1"/>
  <c r="H14" i="8"/>
  <c r="H16" i="8" s="1"/>
  <c r="H18" i="7"/>
  <c r="H21" i="7" s="1"/>
  <c r="H25" i="7" s="1"/>
  <c r="E5" i="8"/>
  <c r="E21" i="6"/>
  <c r="E30" i="7" s="1"/>
  <c r="G19" i="4"/>
  <c r="G7" i="6"/>
  <c r="G8" i="6" s="1"/>
  <c r="G13" i="6" s="1"/>
  <c r="G15" i="6" s="1"/>
  <c r="H19" i="4"/>
  <c r="H7" i="6"/>
  <c r="H8" i="6" s="1"/>
  <c r="H13" i="6" s="1"/>
  <c r="H15" i="6" s="1"/>
  <c r="F18" i="6"/>
  <c r="F4" i="8"/>
  <c r="H16" i="5" l="1"/>
  <c r="H8" i="8" s="1"/>
  <c r="E25" i="8"/>
  <c r="E6" i="7" s="1"/>
  <c r="G18" i="6"/>
  <c r="G4" i="8"/>
  <c r="H18" i="6"/>
  <c r="H4" i="8"/>
  <c r="F19" i="6"/>
  <c r="F5" i="8"/>
  <c r="F10" i="8"/>
  <c r="F21" i="8" s="1"/>
  <c r="C4" i="10" s="1"/>
  <c r="C8" i="10" s="1"/>
  <c r="F31" i="7"/>
  <c r="E31" i="7"/>
  <c r="E32" i="7" s="1"/>
  <c r="H17" i="5" l="1"/>
  <c r="H9" i="7" s="1"/>
  <c r="E8" i="7"/>
  <c r="E12" i="7" s="1"/>
  <c r="G19" i="6"/>
  <c r="G10" i="8"/>
  <c r="G21" i="8" s="1"/>
  <c r="D4" i="10" s="1"/>
  <c r="D8" i="10" s="1"/>
  <c r="G5" i="8"/>
  <c r="H19" i="6"/>
  <c r="H5" i="8"/>
  <c r="H10" i="8"/>
  <c r="H21" i="8" s="1"/>
  <c r="E4" i="10" s="1"/>
  <c r="F21" i="6"/>
  <c r="F25" i="8"/>
  <c r="F6" i="7" s="1"/>
  <c r="G31" i="7"/>
  <c r="H31" i="7"/>
  <c r="F32" i="7"/>
  <c r="E8" i="10" l="1"/>
  <c r="B12" i="10"/>
  <c r="B13" i="10" s="1"/>
  <c r="F8" i="7"/>
  <c r="F12" i="7" s="1"/>
  <c r="E35" i="7"/>
  <c r="H21" i="6"/>
  <c r="H25" i="8"/>
  <c r="G21" i="6"/>
  <c r="G32" i="7"/>
  <c r="H32" i="7"/>
  <c r="B10" i="10" l="1"/>
  <c r="F35" i="7"/>
  <c r="G25" i="8"/>
  <c r="G6" i="7" s="1"/>
  <c r="B16" i="10" l="1"/>
  <c r="G8" i="7"/>
  <c r="G12" i="7" s="1"/>
  <c r="G35" i="7" s="1"/>
  <c r="H6" i="7"/>
  <c r="B18" i="10" l="1"/>
  <c r="B19" i="10" s="1"/>
  <c r="B20" i="10" s="1"/>
  <c r="H8" i="7"/>
  <c r="H12" i="7" s="1"/>
  <c r="H35" i="7" s="1"/>
  <c r="E13" i="8"/>
</calcChain>
</file>

<file path=xl/sharedStrings.xml><?xml version="1.0" encoding="utf-8"?>
<sst xmlns="http://schemas.openxmlformats.org/spreadsheetml/2006/main" count="308" uniqueCount="174">
  <si>
    <t>P&amp;L Statement</t>
  </si>
  <si>
    <t>(in thousands)</t>
  </si>
  <si>
    <t>2018
Act</t>
  </si>
  <si>
    <t>2019
Act</t>
  </si>
  <si>
    <t>2020
Act</t>
  </si>
  <si>
    <t>Revenues</t>
  </si>
  <si>
    <t>Cost of revenues</t>
  </si>
  <si>
    <t>Marketing</t>
  </si>
  <si>
    <t>Technology and development</t>
  </si>
  <si>
    <t>General and administrative</t>
  </si>
  <si>
    <t>Operating income</t>
  </si>
  <si>
    <t>Other income (expense):</t>
  </si>
  <si>
    <t xml:space="preserve">     Interest</t>
  </si>
  <si>
    <t xml:space="preserve">     Interest and other income (expense)</t>
  </si>
  <si>
    <t>Income before income taxes</t>
  </si>
  <si>
    <t>Provision for income taxes</t>
  </si>
  <si>
    <t>Net income</t>
  </si>
  <si>
    <t xml:space="preserve">Balance Sheet </t>
  </si>
  <si>
    <t>Assets</t>
  </si>
  <si>
    <t>Current assets:</t>
  </si>
  <si>
    <t xml:space="preserve">     Cash and cash equivalents</t>
  </si>
  <si>
    <t>Cashflow</t>
  </si>
  <si>
    <t xml:space="preserve">     Other current assets</t>
  </si>
  <si>
    <t>Other Items</t>
  </si>
  <si>
    <t>Total current assets</t>
  </si>
  <si>
    <t xml:space="preserve">     Content assets, net</t>
  </si>
  <si>
    <t>Schedules</t>
  </si>
  <si>
    <t xml:space="preserve">     Property and equipment, net</t>
  </si>
  <si>
    <t xml:space="preserve">     Other non-current assets</t>
  </si>
  <si>
    <t>Total assets</t>
  </si>
  <si>
    <t>Liabilities and Stockholders' Equity</t>
  </si>
  <si>
    <t>Current liabilities:</t>
  </si>
  <si>
    <t xml:space="preserve">     Current content liabilities</t>
  </si>
  <si>
    <t xml:space="preserve">     Accounts payable</t>
  </si>
  <si>
    <t xml:space="preserve">     Accrued expenses and other liabilities</t>
  </si>
  <si>
    <t xml:space="preserve">     Deferred revenue</t>
  </si>
  <si>
    <t xml:space="preserve">     Short-term debt</t>
  </si>
  <si>
    <t>Total current liabilities</t>
  </si>
  <si>
    <t>Non-current content liabilities</t>
  </si>
  <si>
    <t xml:space="preserve">     Long-term debt</t>
  </si>
  <si>
    <t xml:space="preserve">     Other non-current liabilities</t>
  </si>
  <si>
    <t>Total liabilities</t>
  </si>
  <si>
    <t>Stockholders' equity:</t>
  </si>
  <si>
    <t xml:space="preserve">     Common stock</t>
  </si>
  <si>
    <t xml:space="preserve">     Treasury stock</t>
  </si>
  <si>
    <t xml:space="preserve">     Accumulated other comprehensive income (loss)</t>
  </si>
  <si>
    <t xml:space="preserve">     Retained earnings</t>
  </si>
  <si>
    <t>Total stockholders' equity</t>
  </si>
  <si>
    <t>Total liabilities and stockholders' equity</t>
  </si>
  <si>
    <t>Revenue Sources</t>
  </si>
  <si>
    <t>Streaming revenues</t>
  </si>
  <si>
    <t>DVD Revenues</t>
  </si>
  <si>
    <t>Growth %</t>
  </si>
  <si>
    <t>Total Revenues</t>
  </si>
  <si>
    <t>Unites States and Canada ( in thousands)</t>
  </si>
  <si>
    <t>Average Monthly Revenues</t>
  </si>
  <si>
    <t>Average yearly revenue per membership</t>
  </si>
  <si>
    <t>Average Paid membership</t>
  </si>
  <si>
    <t>Europe, Middle East, and Africa (EMEA) (in thousands)</t>
  </si>
  <si>
    <t>Latin America (LATAM) (in thousands)</t>
  </si>
  <si>
    <t>Asia-Pacific (in thousands)</t>
  </si>
  <si>
    <t>2021
Forcasted</t>
  </si>
  <si>
    <t>2022
Forcasted</t>
  </si>
  <si>
    <t>2023
Forcasted</t>
  </si>
  <si>
    <t>2024
Forcasted</t>
  </si>
  <si>
    <t>Cost of Goods Sold</t>
  </si>
  <si>
    <t>as a % revenues</t>
  </si>
  <si>
    <t>Technology and Development</t>
  </si>
  <si>
    <t>General and Administrative</t>
  </si>
  <si>
    <t>Other Current assets</t>
  </si>
  <si>
    <t xml:space="preserve">Accounts Payable </t>
  </si>
  <si>
    <t>Days Payable</t>
  </si>
  <si>
    <t>Accrued Expenses and other Liabilities</t>
  </si>
  <si>
    <t>Deferred Revenue</t>
  </si>
  <si>
    <t>PP&amp;E</t>
  </si>
  <si>
    <t>Beginning Balance</t>
  </si>
  <si>
    <t>add: Capex</t>
  </si>
  <si>
    <t>less: Depreciation</t>
  </si>
  <si>
    <t>Closing Balance</t>
  </si>
  <si>
    <t xml:space="preserve">Useful life </t>
  </si>
  <si>
    <t>Content Assets</t>
  </si>
  <si>
    <t>add: Addition to Content Assets</t>
  </si>
  <si>
    <t>less: Amortisation of Content Assets</t>
  </si>
  <si>
    <t>Useful life</t>
  </si>
  <si>
    <t>Debt Schedule</t>
  </si>
  <si>
    <t>Beginning Balance of Debt</t>
  </si>
  <si>
    <t>add/less: Debt Taken /(debt repaid)</t>
  </si>
  <si>
    <t>Interest Expense</t>
  </si>
  <si>
    <t>P&amp;L Forcasting</t>
  </si>
  <si>
    <t>Gross Margin</t>
  </si>
  <si>
    <t>Operating Expenses</t>
  </si>
  <si>
    <t>EBITDA</t>
  </si>
  <si>
    <t xml:space="preserve">EBIT </t>
  </si>
  <si>
    <t>EBT</t>
  </si>
  <si>
    <t>Taxes</t>
  </si>
  <si>
    <t>tax rate %</t>
  </si>
  <si>
    <t>Net Income</t>
  </si>
  <si>
    <t xml:space="preserve">Check </t>
  </si>
  <si>
    <t>Cash Flow</t>
  </si>
  <si>
    <t>EBIT</t>
  </si>
  <si>
    <t>Operating Taxes</t>
  </si>
  <si>
    <t>Tax Rate %</t>
  </si>
  <si>
    <t>NOPAT</t>
  </si>
  <si>
    <t>add Amortization</t>
  </si>
  <si>
    <t>add Depreciation</t>
  </si>
  <si>
    <t>Gross Cash Flow</t>
  </si>
  <si>
    <t>Account Payables</t>
  </si>
  <si>
    <t>Current content liabilites</t>
  </si>
  <si>
    <t>Accrued expenses and other liabilities</t>
  </si>
  <si>
    <t>Other current assets</t>
  </si>
  <si>
    <t>Investments in Working Capital</t>
  </si>
  <si>
    <t>Capex:</t>
  </si>
  <si>
    <t>Extraordinary Items</t>
  </si>
  <si>
    <t>UFCF</t>
  </si>
  <si>
    <t>Debt taken (Repaid)</t>
  </si>
  <si>
    <t>Diff b/w Operating Taxes &amp; Actual Taxes</t>
  </si>
  <si>
    <t>Net Cash Flow</t>
  </si>
  <si>
    <t>WACC</t>
  </si>
  <si>
    <t>Risk free Rate</t>
  </si>
  <si>
    <t>Market Risk Premium</t>
  </si>
  <si>
    <t>Beta</t>
  </si>
  <si>
    <t>Amount</t>
  </si>
  <si>
    <t xml:space="preserve">Cost of Equity </t>
  </si>
  <si>
    <t>RiskfreeRate*beta + Market Risk Premium</t>
  </si>
  <si>
    <t>Cost Debt</t>
  </si>
  <si>
    <t>Equity</t>
  </si>
  <si>
    <t>Debt</t>
  </si>
  <si>
    <t>Equity/(Equity+Debt)</t>
  </si>
  <si>
    <t>Debt/(Equity+Debt)</t>
  </si>
  <si>
    <t>DCF Analysis</t>
  </si>
  <si>
    <t xml:space="preserve">Discounting Factor </t>
  </si>
  <si>
    <t>No of Years</t>
  </si>
  <si>
    <t>PV of UFCF</t>
  </si>
  <si>
    <t>Sum of PV</t>
  </si>
  <si>
    <t>Terminal Value</t>
  </si>
  <si>
    <t>PV of Terminal value</t>
  </si>
  <si>
    <t>Enterprise Value</t>
  </si>
  <si>
    <t>Cash</t>
  </si>
  <si>
    <t>Equity Value</t>
  </si>
  <si>
    <t>2021 FORECASTING</t>
  </si>
  <si>
    <t>2022 FORECASTING</t>
  </si>
  <si>
    <t>2023 FORECASTING</t>
  </si>
  <si>
    <t>2024 FORECASTING</t>
  </si>
  <si>
    <t>STREAMING REVENUE BIFURCATION</t>
  </si>
  <si>
    <t>Data Input</t>
  </si>
  <si>
    <t>Average no of Paid membership</t>
  </si>
  <si>
    <t xml:space="preserve">NOTES: </t>
  </si>
  <si>
    <t xml:space="preserve">USA and Canada as the Stabilised market </t>
  </si>
  <si>
    <t>Asia Pacific continues to grow at a high rate due to low market penetration</t>
  </si>
  <si>
    <t>NOTES</t>
  </si>
  <si>
    <t>Excluding 2018 since marketing spend should be on the lesser side as Market Penetration Increases but still high enough to capture untapped markets</t>
  </si>
  <si>
    <t>Being Cautious with the Days Payable and Estimating it on the higher side and then slowly declining</t>
  </si>
  <si>
    <t>Assumption</t>
  </si>
  <si>
    <t>Cap Exp - Beginning of Year</t>
  </si>
  <si>
    <t>Continuous Increment Since Life Seems Low</t>
  </si>
  <si>
    <t>Taken from the Table</t>
  </si>
  <si>
    <t>No additional Debt is taken since already high debt</t>
  </si>
  <si>
    <t>0 because very insignificant and cannot predict</t>
  </si>
  <si>
    <t>Prudence</t>
  </si>
  <si>
    <t>Taken from the Net (Past data)</t>
  </si>
  <si>
    <t>Volatility with respect to the industry/stock market</t>
  </si>
  <si>
    <t>Taken as Interest paid on latest debt(Taken from Schedule)</t>
  </si>
  <si>
    <t>Long Term Debt</t>
  </si>
  <si>
    <t>(Discount Rate)</t>
  </si>
  <si>
    <t>WACC - Cost Of Equity and Debt</t>
  </si>
  <si>
    <t>1/(1+WACC)^no of years</t>
  </si>
  <si>
    <t>TERMINAL VALUE CALC</t>
  </si>
  <si>
    <t>g = risk free rate</t>
  </si>
  <si>
    <t>Last Year Discounting Factor</t>
  </si>
  <si>
    <t>EV-Debt+Cash</t>
  </si>
  <si>
    <t>The Debt gets paid off by the cash</t>
  </si>
  <si>
    <t xml:space="preserve">TARGET PRICE </t>
  </si>
  <si>
    <t>Diluted Shares Outstanding</t>
  </si>
  <si>
    <t>`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</si>
</sst>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3" formatCode="_ * #,##0.00_ ;_ * \-#,##0.00_ ;_ * &quot;-&quot;??_ ;_ @_ "/>
    <numFmt numFmtId="164" formatCode="_(* #,##0_);_(* \(#,##0\);_(* &quot;-&quot;??_);_(@_)"/>
    <numFmt numFmtId="165" formatCode="_(&quot;$&quot;* #,##0_);_(&quot;$&quot;* \(#,##0\);_(&quot;$&quot;* &quot;-&quot;??_);_(@_)"/>
    <numFmt numFmtId="166" formatCode="&quot;$&quot;* #,###\ ;&quot;$&quot;* \(#,###\);&quot;$&quot;* \-\ "/>
    <numFmt numFmtId="167" formatCode="_(* #,##0.00_);_(* \(#,##0.00\);_(* &quot;-&quot;??_);_(@_)"/>
    <numFmt numFmtId="168" formatCode="&quot;$&quot;#,##0.00"/>
    <numFmt numFmtId="169" formatCode="0.0%"/>
    <numFmt numFmtId="170" formatCode="#,##0.0"/>
    <numFmt numFmtId="171" formatCode="_(* #,##0.0_);_(* \(#,##0.0\);_(* &quot;-&quot;?_);@_l"/>
    <numFmt numFmtId="172" formatCode="_(* #,##0.0_);_(* \(#,##0.0\);_(* &quot;-&quot;?_);@_)"/>
    <numFmt numFmtId="173" formatCode="_(* #,##0.0000_);_(* \(#,##0.0000\);_(* &quot;-&quot;??_);_(@_)"/>
  </numFmts>
  <fonts count="36" x14ac:knownFonts="1">
    <font>
      <sz val="11"/>
      <color rgb="FF000000"/>
      <name val="Arial"/>
      <scheme val="minor"/>
    </font>
    <font>
      <sz val="11"/>
      <color theme="1"/>
      <name val="Arial"/>
      <family val="2"/>
      <scheme val="minor"/>
    </font>
    <font>
      <b/>
      <sz val="20"/>
      <color rgb="FF002060"/>
      <name val="Arial"/>
      <family val="2"/>
    </font>
    <font>
      <sz val="10"/>
      <color theme="1"/>
      <name val="Arial"/>
      <family val="2"/>
    </font>
    <font>
      <b/>
      <sz val="9"/>
      <color theme="1"/>
      <name val="Arial"/>
      <family val="2"/>
    </font>
    <font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2"/>
      <color rgb="FF002060"/>
      <name val="Arial"/>
      <family val="2"/>
    </font>
    <font>
      <sz val="11"/>
      <color theme="1"/>
      <name val="Calibri"/>
      <family val="2"/>
    </font>
    <font>
      <i/>
      <sz val="10"/>
      <color theme="1"/>
      <name val="Arial"/>
      <family val="2"/>
    </font>
    <font>
      <sz val="11"/>
      <name val="Arial"/>
      <family val="2"/>
    </font>
    <font>
      <b/>
      <sz val="8"/>
      <color rgb="FF000000"/>
      <name val="Times New Roman"/>
      <family val="1"/>
    </font>
    <font>
      <sz val="10"/>
      <color rgb="FF000000"/>
      <name val="Times New Roman"/>
      <family val="1"/>
    </font>
    <font>
      <sz val="10"/>
      <color theme="1"/>
      <name val="Times New Roman"/>
      <family val="1"/>
    </font>
    <font>
      <sz val="11"/>
      <color theme="1"/>
      <name val="Arial"/>
      <family val="2"/>
      <scheme val="minor"/>
    </font>
    <font>
      <i/>
      <sz val="11"/>
      <color theme="1"/>
      <name val="Calibri"/>
      <family val="2"/>
    </font>
    <font>
      <b/>
      <sz val="20"/>
      <color theme="1"/>
      <name val="Calibri"/>
      <family val="2"/>
    </font>
    <font>
      <sz val="11"/>
      <color rgb="FF2F5496"/>
      <name val="Calibri"/>
      <family val="2"/>
    </font>
    <font>
      <b/>
      <sz val="11"/>
      <color rgb="FF1F3864"/>
      <name val="Calibri"/>
      <family val="2"/>
    </font>
    <font>
      <b/>
      <sz val="11"/>
      <color theme="1"/>
      <name val="Calibri"/>
      <family val="2"/>
    </font>
    <font>
      <sz val="11"/>
      <color rgb="FFFFFFFF"/>
      <name val="Calibri"/>
      <family val="2"/>
    </font>
    <font>
      <sz val="9"/>
      <color theme="1"/>
      <name val="Arial"/>
      <family val="2"/>
    </font>
    <font>
      <b/>
      <sz val="9"/>
      <color rgb="FF333F4F"/>
      <name val="Arial"/>
      <family val="2"/>
    </font>
    <font>
      <b/>
      <sz val="14"/>
      <color theme="1"/>
      <name val="Calibri"/>
      <family val="2"/>
    </font>
    <font>
      <b/>
      <sz val="11"/>
      <color rgb="FFFFFFFF"/>
      <name val="Calibri"/>
      <family val="2"/>
    </font>
    <font>
      <sz val="11"/>
      <color rgb="FF000000"/>
      <name val="Arial"/>
      <family val="2"/>
      <scheme val="minor"/>
    </font>
    <font>
      <b/>
      <sz val="18"/>
      <color theme="1"/>
      <name val="Calibri"/>
      <family val="2"/>
    </font>
    <font>
      <sz val="11"/>
      <color rgb="FF000000"/>
      <name val="Arial"/>
      <family val="2"/>
      <scheme val="minor"/>
    </font>
    <font>
      <sz val="11"/>
      <color theme="4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0"/>
      <color theme="0"/>
      <name val="Arial"/>
      <family val="2"/>
    </font>
    <font>
      <b/>
      <sz val="12"/>
      <color theme="4"/>
      <name val="Calibri"/>
      <family val="2"/>
    </font>
    <font>
      <sz val="11"/>
      <color theme="4"/>
      <name val="Calibri"/>
      <family val="2"/>
    </font>
    <font>
      <b/>
      <sz val="11"/>
      <color theme="0"/>
      <name val="Calibri"/>
      <family val="2"/>
    </font>
    <font>
      <b/>
      <sz val="11"/>
      <color theme="2"/>
      <name val="Calibri"/>
      <family val="2"/>
    </font>
    <font>
      <b/>
      <sz val="11"/>
      <color rgb="FF000000"/>
      <name val="Arial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E7E6E6"/>
        <bgColor rgb="FFE7E6E6"/>
      </patternFill>
    </fill>
    <fill>
      <patternFill patternType="solid">
        <fgColor rgb="FFFFD965"/>
        <bgColor rgb="FFFFD965"/>
      </patternFill>
    </fill>
    <fill>
      <patternFill patternType="solid">
        <fgColor rgb="FF1F3864"/>
        <bgColor rgb="FF1F3864"/>
      </patternFill>
    </fill>
    <fill>
      <patternFill patternType="solid">
        <fgColor rgb="FFD0CECE"/>
        <bgColor rgb="FFD0CECE"/>
      </patternFill>
    </fill>
    <fill>
      <patternFill patternType="solid">
        <fgColor rgb="FF227ACB"/>
        <bgColor indexed="64"/>
      </patternFill>
    </fill>
    <fill>
      <patternFill patternType="solid">
        <fgColor theme="4" tint="0.79998168889431442"/>
        <bgColor rgb="FF1F3864"/>
      </patternFill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</borders>
  <cellStyleXfs count="2">
    <xf numFmtId="0" fontId="0" fillId="0" borderId="0"/>
    <xf numFmtId="9" fontId="27" fillId="0" borderId="0" applyFont="0" applyFill="0" applyBorder="0" applyAlignment="0" applyProtection="0"/>
  </cellStyleXfs>
  <cellXfs count="125">
    <xf numFmtId="0" fontId="0" fillId="0" borderId="0" xfId="0"/>
    <xf numFmtId="0" fontId="3" fillId="0" borderId="0" xfId="0" applyFont="1" applyAlignment="1">
      <alignment vertical="top"/>
    </xf>
    <xf numFmtId="0" fontId="4" fillId="0" borderId="1" xfId="0" applyFont="1" applyBorder="1"/>
    <xf numFmtId="0" fontId="4" fillId="0" borderId="1" xfId="0" applyFont="1" applyBorder="1" applyAlignment="1">
      <alignment horizontal="right" vertical="top" wrapText="1"/>
    </xf>
    <xf numFmtId="0" fontId="3" fillId="0" borderId="0" xfId="0" applyFont="1" applyAlignment="1">
      <alignment vertical="top" wrapText="1"/>
    </xf>
    <xf numFmtId="0" fontId="5" fillId="0" borderId="0" xfId="0" applyFont="1" applyAlignment="1">
      <alignment vertical="top" wrapText="1"/>
    </xf>
    <xf numFmtId="164" fontId="3" fillId="0" borderId="0" xfId="0" applyNumberFormat="1" applyFont="1" applyAlignment="1">
      <alignment vertical="top"/>
    </xf>
    <xf numFmtId="0" fontId="5" fillId="0" borderId="0" xfId="0" applyFont="1" applyAlignment="1">
      <alignment horizontal="left" vertical="top"/>
    </xf>
    <xf numFmtId="0" fontId="5" fillId="0" borderId="0" xfId="0" applyFont="1" applyAlignment="1">
      <alignment vertical="top"/>
    </xf>
    <xf numFmtId="0" fontId="5" fillId="0" borderId="0" xfId="0" applyFont="1" applyAlignment="1">
      <alignment horizontal="left" vertical="top" wrapText="1"/>
    </xf>
    <xf numFmtId="0" fontId="6" fillId="0" borderId="0" xfId="0" applyFont="1"/>
    <xf numFmtId="0" fontId="3" fillId="0" borderId="0" xfId="0" applyFont="1"/>
    <xf numFmtId="3" fontId="3" fillId="0" borderId="0" xfId="0" applyNumberFormat="1" applyFont="1"/>
    <xf numFmtId="165" fontId="5" fillId="0" borderId="0" xfId="0" applyNumberFormat="1" applyFont="1"/>
    <xf numFmtId="164" fontId="5" fillId="0" borderId="1" xfId="0" applyNumberFormat="1" applyFont="1" applyBorder="1"/>
    <xf numFmtId="164" fontId="5" fillId="0" borderId="2" xfId="0" applyNumberFormat="1" applyFont="1" applyBorder="1"/>
    <xf numFmtId="164" fontId="5" fillId="0" borderId="0" xfId="0" applyNumberFormat="1" applyFont="1"/>
    <xf numFmtId="164" fontId="3" fillId="0" borderId="0" xfId="0" applyNumberFormat="1" applyFont="1" applyAlignment="1">
      <alignment horizontal="left" vertical="top"/>
    </xf>
    <xf numFmtId="165" fontId="5" fillId="0" borderId="3" xfId="0" applyNumberFormat="1" applyFont="1" applyBorder="1"/>
    <xf numFmtId="166" fontId="5" fillId="0" borderId="0" xfId="0" applyNumberFormat="1" applyFont="1"/>
    <xf numFmtId="165" fontId="3" fillId="0" borderId="0" xfId="0" applyNumberFormat="1" applyFont="1"/>
    <xf numFmtId="3" fontId="3" fillId="0" borderId="0" xfId="0" applyNumberFormat="1" applyFont="1" applyAlignment="1">
      <alignment vertical="top"/>
    </xf>
    <xf numFmtId="0" fontId="3" fillId="0" borderId="0" xfId="0" applyFont="1" applyAlignment="1">
      <alignment horizontal="left" wrapText="1"/>
    </xf>
    <xf numFmtId="164" fontId="5" fillId="0" borderId="4" xfId="0" applyNumberFormat="1" applyFont="1" applyBorder="1"/>
    <xf numFmtId="0" fontId="7" fillId="0" borderId="0" xfId="0" applyFont="1" applyAlignment="1">
      <alignment vertical="top"/>
    </xf>
    <xf numFmtId="0" fontId="8" fillId="0" borderId="0" xfId="0" applyFont="1" applyAlignment="1">
      <alignment vertical="top"/>
    </xf>
    <xf numFmtId="167" fontId="8" fillId="0" borderId="0" xfId="0" applyNumberFormat="1" applyFont="1" applyAlignment="1">
      <alignment vertical="top"/>
    </xf>
    <xf numFmtId="3" fontId="8" fillId="0" borderId="0" xfId="0" applyNumberFormat="1" applyFont="1" applyAlignment="1">
      <alignment vertical="top"/>
    </xf>
    <xf numFmtId="0" fontId="9" fillId="0" borderId="0" xfId="0" applyFont="1" applyAlignment="1">
      <alignment vertical="top"/>
    </xf>
    <xf numFmtId="9" fontId="8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167" fontId="6" fillId="0" borderId="0" xfId="0" applyNumberFormat="1" applyFont="1" applyAlignment="1">
      <alignment vertical="top"/>
    </xf>
    <xf numFmtId="0" fontId="6" fillId="2" borderId="7" xfId="0" applyFont="1" applyFill="1" applyBorder="1" applyAlignment="1">
      <alignment vertical="top"/>
    </xf>
    <xf numFmtId="168" fontId="8" fillId="0" borderId="0" xfId="0" applyNumberFormat="1" applyFont="1" applyAlignment="1">
      <alignment vertical="top"/>
    </xf>
    <xf numFmtId="168" fontId="8" fillId="2" borderId="7" xfId="0" applyNumberFormat="1" applyFont="1" applyFill="1" applyBorder="1" applyAlignment="1">
      <alignment vertical="top"/>
    </xf>
    <xf numFmtId="0" fontId="11" fillId="0" borderId="0" xfId="0" applyFont="1" applyAlignment="1">
      <alignment vertical="top" wrapText="1"/>
    </xf>
    <xf numFmtId="168" fontId="8" fillId="3" borderId="7" xfId="0" applyNumberFormat="1" applyFont="1" applyFill="1" applyBorder="1" applyAlignment="1">
      <alignment vertical="top"/>
    </xf>
    <xf numFmtId="10" fontId="8" fillId="3" borderId="7" xfId="0" applyNumberFormat="1" applyFont="1" applyFill="1" applyBorder="1" applyAlignment="1">
      <alignment vertical="top"/>
    </xf>
    <xf numFmtId="0" fontId="12" fillId="0" borderId="0" xfId="0" applyFont="1" applyAlignment="1">
      <alignment horizontal="left" vertical="top" wrapText="1"/>
    </xf>
    <xf numFmtId="0" fontId="13" fillId="0" borderId="0" xfId="0" applyFont="1" applyAlignment="1">
      <alignment horizontal="left" vertical="center" wrapText="1"/>
    </xf>
    <xf numFmtId="169" fontId="8" fillId="3" borderId="7" xfId="0" applyNumberFormat="1" applyFont="1" applyFill="1" applyBorder="1" applyAlignment="1">
      <alignment vertical="top"/>
    </xf>
    <xf numFmtId="0" fontId="6" fillId="0" borderId="0" xfId="0" applyFont="1" applyAlignment="1">
      <alignment horizontal="right" vertical="top" wrapText="1"/>
    </xf>
    <xf numFmtId="0" fontId="14" fillId="0" borderId="0" xfId="0" applyFont="1"/>
    <xf numFmtId="164" fontId="8" fillId="0" borderId="0" xfId="0" applyNumberFormat="1" applyFont="1"/>
    <xf numFmtId="0" fontId="15" fillId="0" borderId="0" xfId="0" applyFont="1"/>
    <xf numFmtId="9" fontId="8" fillId="0" borderId="0" xfId="0" applyNumberFormat="1" applyFont="1"/>
    <xf numFmtId="9" fontId="8" fillId="3" borderId="7" xfId="0" applyNumberFormat="1" applyFont="1" applyFill="1" applyBorder="1"/>
    <xf numFmtId="167" fontId="8" fillId="0" borderId="0" xfId="0" applyNumberFormat="1" applyFont="1"/>
    <xf numFmtId="3" fontId="8" fillId="0" borderId="0" xfId="0" applyNumberFormat="1" applyFont="1"/>
    <xf numFmtId="167" fontId="8" fillId="3" borderId="7" xfId="0" applyNumberFormat="1" applyFont="1" applyFill="1" applyBorder="1"/>
    <xf numFmtId="3" fontId="8" fillId="3" borderId="7" xfId="0" applyNumberFormat="1" applyFont="1" applyFill="1" applyBorder="1"/>
    <xf numFmtId="3" fontId="17" fillId="0" borderId="0" xfId="0" applyNumberFormat="1" applyFont="1"/>
    <xf numFmtId="170" fontId="8" fillId="3" borderId="7" xfId="0" applyNumberFormat="1" applyFont="1" applyFill="1" applyBorder="1"/>
    <xf numFmtId="170" fontId="8" fillId="0" borderId="0" xfId="0" applyNumberFormat="1" applyFont="1"/>
    <xf numFmtId="169" fontId="8" fillId="0" borderId="0" xfId="0" applyNumberFormat="1" applyFont="1"/>
    <xf numFmtId="169" fontId="8" fillId="3" borderId="7" xfId="0" applyNumberFormat="1" applyFont="1" applyFill="1" applyBorder="1"/>
    <xf numFmtId="0" fontId="6" fillId="0" borderId="1" xfId="0" applyFont="1" applyBorder="1" applyAlignment="1">
      <alignment horizontal="right" vertical="top" wrapText="1"/>
    </xf>
    <xf numFmtId="0" fontId="8" fillId="0" borderId="1" xfId="0" applyFont="1" applyBorder="1" applyAlignment="1">
      <alignment vertical="top"/>
    </xf>
    <xf numFmtId="3" fontId="8" fillId="0" borderId="1" xfId="0" applyNumberFormat="1" applyFont="1" applyBorder="1"/>
    <xf numFmtId="0" fontId="18" fillId="0" borderId="0" xfId="0" applyFont="1"/>
    <xf numFmtId="0" fontId="8" fillId="0" borderId="1" xfId="0" applyFont="1" applyBorder="1"/>
    <xf numFmtId="164" fontId="8" fillId="0" borderId="1" xfId="0" applyNumberFormat="1" applyFont="1" applyBorder="1"/>
    <xf numFmtId="0" fontId="5" fillId="0" borderId="1" xfId="0" applyFont="1" applyBorder="1" applyAlignment="1">
      <alignment horizontal="left" vertical="top"/>
    </xf>
    <xf numFmtId="0" fontId="5" fillId="0" borderId="1" xfId="0" applyFont="1" applyBorder="1" applyAlignment="1">
      <alignment vertical="top"/>
    </xf>
    <xf numFmtId="0" fontId="15" fillId="0" borderId="1" xfId="0" applyFont="1" applyBorder="1"/>
    <xf numFmtId="9" fontId="8" fillId="0" borderId="1" xfId="0" applyNumberFormat="1" applyFont="1" applyBorder="1"/>
    <xf numFmtId="0" fontId="8" fillId="5" borderId="7" xfId="0" applyFont="1" applyFill="1" applyBorder="1"/>
    <xf numFmtId="0" fontId="9" fillId="0" borderId="1" xfId="0" applyFont="1" applyBorder="1" applyAlignment="1">
      <alignment vertical="top"/>
    </xf>
    <xf numFmtId="164" fontId="8" fillId="0" borderId="0" xfId="0" applyNumberFormat="1" applyFont="1" applyAlignment="1">
      <alignment horizontal="right"/>
    </xf>
    <xf numFmtId="3" fontId="8" fillId="0" borderId="0" xfId="0" applyNumberFormat="1" applyFont="1" applyAlignment="1">
      <alignment horizontal="right"/>
    </xf>
    <xf numFmtId="0" fontId="6" fillId="0" borderId="1" xfId="0" applyFont="1" applyBorder="1" applyAlignment="1">
      <alignment vertical="top"/>
    </xf>
    <xf numFmtId="0" fontId="8" fillId="0" borderId="0" xfId="0" applyFont="1"/>
    <xf numFmtId="0" fontId="8" fillId="4" borderId="7" xfId="0" applyFont="1" applyFill="1" applyBorder="1"/>
    <xf numFmtId="164" fontId="20" fillId="4" borderId="7" xfId="0" applyNumberFormat="1" applyFont="1" applyFill="1" applyBorder="1" applyAlignment="1">
      <alignment horizontal="right"/>
    </xf>
    <xf numFmtId="171" fontId="21" fillId="0" borderId="0" xfId="0" applyNumberFormat="1" applyFont="1"/>
    <xf numFmtId="172" fontId="22" fillId="0" borderId="0" xfId="0" applyNumberFormat="1" applyFont="1"/>
    <xf numFmtId="172" fontId="21" fillId="0" borderId="0" xfId="0" applyNumberFormat="1" applyFont="1"/>
    <xf numFmtId="0" fontId="8" fillId="0" borderId="9" xfId="0" applyFont="1" applyBorder="1"/>
    <xf numFmtId="10" fontId="8" fillId="0" borderId="10" xfId="0" applyNumberFormat="1" applyFont="1" applyBorder="1"/>
    <xf numFmtId="0" fontId="8" fillId="0" borderId="11" xfId="0" applyFont="1" applyBorder="1"/>
    <xf numFmtId="10" fontId="8" fillId="0" borderId="12" xfId="0" applyNumberFormat="1" applyFont="1" applyBorder="1"/>
    <xf numFmtId="0" fontId="8" fillId="0" borderId="13" xfId="0" applyFont="1" applyBorder="1"/>
    <xf numFmtId="0" fontId="8" fillId="0" borderId="14" xfId="0" applyFont="1" applyBorder="1"/>
    <xf numFmtId="0" fontId="21" fillId="0" borderId="15" xfId="0" applyFont="1" applyBorder="1"/>
    <xf numFmtId="0" fontId="8" fillId="0" borderId="16" xfId="0" applyFont="1" applyBorder="1"/>
    <xf numFmtId="0" fontId="8" fillId="0" borderId="12" xfId="0" applyFont="1" applyBorder="1"/>
    <xf numFmtId="0" fontId="23" fillId="0" borderId="0" xfId="0" applyFont="1"/>
    <xf numFmtId="167" fontId="8" fillId="0" borderId="12" xfId="0" applyNumberFormat="1" applyFont="1" applyBorder="1"/>
    <xf numFmtId="173" fontId="8" fillId="0" borderId="0" xfId="0" applyNumberFormat="1" applyFont="1"/>
    <xf numFmtId="10" fontId="8" fillId="0" borderId="0" xfId="0" applyNumberFormat="1" applyFont="1"/>
    <xf numFmtId="167" fontId="24" fillId="4" borderId="7" xfId="0" applyNumberFormat="1" applyFont="1" applyFill="1" applyBorder="1" applyAlignment="1">
      <alignment horizontal="right"/>
    </xf>
    <xf numFmtId="167" fontId="8" fillId="0" borderId="0" xfId="0" applyNumberFormat="1" applyFont="1" applyAlignment="1">
      <alignment horizontal="right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wrapText="1"/>
    </xf>
    <xf numFmtId="0" fontId="26" fillId="0" borderId="0" xfId="0" applyFont="1" applyAlignment="1">
      <alignment vertical="top"/>
    </xf>
    <xf numFmtId="0" fontId="25" fillId="0" borderId="0" xfId="0" applyFont="1"/>
    <xf numFmtId="0" fontId="28" fillId="0" borderId="0" xfId="0" applyFont="1"/>
    <xf numFmtId="0" fontId="1" fillId="6" borderId="0" xfId="0" applyFont="1" applyFill="1"/>
    <xf numFmtId="0" fontId="25" fillId="6" borderId="0" xfId="0" applyFont="1" applyFill="1"/>
    <xf numFmtId="10" fontId="8" fillId="0" borderId="1" xfId="0" applyNumberFormat="1" applyFont="1" applyBorder="1"/>
    <xf numFmtId="9" fontId="8" fillId="0" borderId="0" xfId="1" applyFont="1"/>
    <xf numFmtId="43" fontId="0" fillId="0" borderId="0" xfId="0" applyNumberFormat="1"/>
    <xf numFmtId="164" fontId="29" fillId="0" borderId="0" xfId="0" applyNumberFormat="1" applyFont="1"/>
    <xf numFmtId="0" fontId="19" fillId="7" borderId="8" xfId="0" applyFont="1" applyFill="1" applyBorder="1"/>
    <xf numFmtId="164" fontId="19" fillId="7" borderId="8" xfId="0" applyNumberFormat="1" applyFont="1" applyFill="1" applyBorder="1"/>
    <xf numFmtId="0" fontId="30" fillId="4" borderId="7" xfId="0" applyFont="1" applyFill="1" applyBorder="1" applyAlignment="1">
      <alignment vertical="top"/>
    </xf>
    <xf numFmtId="0" fontId="28" fillId="8" borderId="0" xfId="0" applyFont="1" applyFill="1"/>
    <xf numFmtId="0" fontId="31" fillId="0" borderId="0" xfId="0" applyFont="1"/>
    <xf numFmtId="9" fontId="8" fillId="0" borderId="12" xfId="1" applyFont="1" applyBorder="1"/>
    <xf numFmtId="0" fontId="33" fillId="9" borderId="13" xfId="0" applyFont="1" applyFill="1" applyBorder="1"/>
    <xf numFmtId="10" fontId="33" fillId="9" borderId="14" xfId="0" applyNumberFormat="1" applyFont="1" applyFill="1" applyBorder="1"/>
    <xf numFmtId="10" fontId="0" fillId="0" borderId="0" xfId="0" applyNumberFormat="1"/>
    <xf numFmtId="0" fontId="33" fillId="4" borderId="7" xfId="0" applyFont="1" applyFill="1" applyBorder="1"/>
    <xf numFmtId="0" fontId="34" fillId="4" borderId="7" xfId="0" applyFont="1" applyFill="1" applyBorder="1"/>
    <xf numFmtId="9" fontId="32" fillId="0" borderId="0" xfId="0" applyNumberFormat="1" applyFont="1"/>
    <xf numFmtId="0" fontId="25" fillId="8" borderId="0" xfId="0" applyFont="1" applyFill="1"/>
    <xf numFmtId="0" fontId="0" fillId="8" borderId="0" xfId="0" applyFill="1"/>
    <xf numFmtId="2" fontId="25" fillId="8" borderId="0" xfId="0" applyNumberFormat="1" applyFont="1" applyFill="1"/>
    <xf numFmtId="10" fontId="35" fillId="0" borderId="0" xfId="0" applyNumberFormat="1" applyFont="1"/>
    <xf numFmtId="0" fontId="16" fillId="0" borderId="0" xfId="0" applyFont="1" applyAlignment="1">
      <alignment horizontal="center"/>
    </xf>
    <xf numFmtId="0" fontId="0" fillId="0" borderId="0" xfId="0"/>
    <xf numFmtId="0" fontId="2" fillId="0" borderId="0" xfId="0" applyFont="1" applyAlignment="1">
      <alignment horizontal="center" vertical="top"/>
    </xf>
    <xf numFmtId="0" fontId="6" fillId="2" borderId="5" xfId="0" applyFont="1" applyFill="1" applyBorder="1" applyAlignment="1">
      <alignment horizontal="center" vertical="top"/>
    </xf>
    <xf numFmtId="0" fontId="10" fillId="0" borderId="6" xfId="0" applyFont="1" applyBorder="1"/>
    <xf numFmtId="0" fontId="16" fillId="0" borderId="0" xfId="0" applyFont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customschemas.google.com/relationships/workbookmetadata" Target="metadata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228600</xdr:colOff>
      <xdr:row>0</xdr:row>
      <xdr:rowOff>158750</xdr:rowOff>
    </xdr:from>
    <xdr:ext cx="7486650" cy="4886325"/>
    <xdr:pic>
      <xdr:nvPicPr>
        <xdr:cNvPr id="3" name="image1.png">
          <a:extLst>
            <a:ext uri="{FF2B5EF4-FFF2-40B4-BE49-F238E27FC236}">
              <a16:creationId xmlns:a16="http://schemas.microsoft.com/office/drawing/2014/main" id="{0CFEADD3-6ADF-497E-B196-AE3F8E53DE9B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1614150" y="158750"/>
          <a:ext cx="7486650" cy="4886325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13</xdr:row>
      <xdr:rowOff>133350</xdr:rowOff>
    </xdr:from>
    <xdr:ext cx="4067175" cy="1790700"/>
    <xdr:pic>
      <xdr:nvPicPr>
        <xdr:cNvPr id="2" name="image3.png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1085850</xdr:colOff>
      <xdr:row>2</xdr:row>
      <xdr:rowOff>44450</xdr:rowOff>
    </xdr:from>
    <xdr:ext cx="1403350" cy="762000"/>
    <xdr:pic>
      <xdr:nvPicPr>
        <xdr:cNvPr id="2" name="image2.png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239250" y="552450"/>
          <a:ext cx="1403350" cy="76200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0"/>
  <sheetViews>
    <sheetView workbookViewId="0">
      <selection activeCell="C15" sqref="C15"/>
    </sheetView>
  </sheetViews>
  <sheetFormatPr defaultColWidth="12.6640625" defaultRowHeight="15" customHeight="1" x14ac:dyDescent="0.3"/>
  <cols>
    <col min="1" max="1" width="35" customWidth="1"/>
    <col min="2" max="4" width="14" customWidth="1"/>
    <col min="5" max="6" width="10.25" customWidth="1"/>
    <col min="7" max="11" width="9.1640625" customWidth="1"/>
    <col min="12" max="26" width="14.4140625" customWidth="1"/>
  </cols>
  <sheetData>
    <row r="1" spans="1:11" ht="25" x14ac:dyDescent="0.3">
      <c r="A1" s="121" t="s">
        <v>0</v>
      </c>
      <c r="B1" s="120"/>
      <c r="C1" s="120"/>
      <c r="D1" s="120"/>
      <c r="E1" s="1"/>
      <c r="F1" s="1"/>
      <c r="G1" s="1"/>
      <c r="H1" s="1"/>
      <c r="I1" s="1"/>
      <c r="J1" s="1"/>
      <c r="K1" s="1"/>
    </row>
    <row r="2" spans="1:11" ht="12.75" customHeight="1" x14ac:dyDescent="0.3">
      <c r="A2" s="2" t="s">
        <v>1</v>
      </c>
      <c r="B2" s="3" t="s">
        <v>2</v>
      </c>
      <c r="C2" s="3" t="s">
        <v>3</v>
      </c>
      <c r="D2" s="3" t="s">
        <v>4</v>
      </c>
      <c r="E2" s="1"/>
      <c r="F2" s="1"/>
      <c r="G2" s="4"/>
      <c r="H2" s="1"/>
      <c r="I2" s="1"/>
      <c r="J2" s="1"/>
      <c r="K2" s="1"/>
    </row>
    <row r="3" spans="1:11" ht="12.75" customHeight="1" x14ac:dyDescent="0.3">
      <c r="A3" s="5" t="s">
        <v>5</v>
      </c>
      <c r="B3" s="6">
        <v>15794341</v>
      </c>
      <c r="C3" s="6">
        <v>20156447</v>
      </c>
      <c r="D3" s="6">
        <v>24996056</v>
      </c>
      <c r="E3" s="1"/>
      <c r="F3" s="1"/>
      <c r="G3" s="4"/>
      <c r="H3" s="1"/>
      <c r="I3" s="1"/>
      <c r="J3" s="1"/>
      <c r="K3" s="1"/>
    </row>
    <row r="4" spans="1:11" ht="12.75" customHeight="1" x14ac:dyDescent="0.3">
      <c r="A4" s="7" t="s">
        <v>6</v>
      </c>
      <c r="B4" s="6">
        <v>9967538</v>
      </c>
      <c r="C4" s="6">
        <v>12440213</v>
      </c>
      <c r="D4" s="6">
        <v>15276319</v>
      </c>
      <c r="E4" s="1"/>
      <c r="F4" s="1"/>
      <c r="G4" s="4"/>
      <c r="H4" s="1"/>
      <c r="I4" s="1"/>
      <c r="J4" s="1"/>
      <c r="K4" s="1"/>
    </row>
    <row r="5" spans="1:11" ht="12.75" customHeight="1" x14ac:dyDescent="0.3">
      <c r="A5" s="7" t="s">
        <v>7</v>
      </c>
      <c r="B5" s="6">
        <v>2369469</v>
      </c>
      <c r="C5" s="6">
        <v>2652462</v>
      </c>
      <c r="D5" s="6">
        <v>2228362</v>
      </c>
      <c r="E5" s="1"/>
      <c r="F5" s="1"/>
      <c r="G5" s="4"/>
      <c r="H5" s="1"/>
      <c r="I5" s="1"/>
      <c r="J5" s="1"/>
      <c r="K5" s="1"/>
    </row>
    <row r="6" spans="1:11" ht="12.75" customHeight="1" x14ac:dyDescent="0.3">
      <c r="A6" s="7" t="s">
        <v>8</v>
      </c>
      <c r="B6" s="6">
        <v>1221814</v>
      </c>
      <c r="C6" s="6">
        <v>1545149</v>
      </c>
      <c r="D6" s="6">
        <v>1829600</v>
      </c>
      <c r="E6" s="1"/>
      <c r="F6" s="1"/>
      <c r="G6" s="4"/>
      <c r="H6" s="1"/>
      <c r="I6" s="1"/>
      <c r="J6" s="1"/>
      <c r="K6" s="1"/>
    </row>
    <row r="7" spans="1:11" ht="12.75" customHeight="1" x14ac:dyDescent="0.3">
      <c r="A7" s="7" t="s">
        <v>9</v>
      </c>
      <c r="B7" s="6">
        <v>630294</v>
      </c>
      <c r="C7" s="6">
        <v>914369</v>
      </c>
      <c r="D7" s="6">
        <v>1076486</v>
      </c>
      <c r="E7" s="1"/>
      <c r="F7" s="1"/>
      <c r="G7" s="4"/>
      <c r="H7" s="1"/>
      <c r="I7" s="1"/>
      <c r="J7" s="1"/>
      <c r="K7" s="1"/>
    </row>
    <row r="8" spans="1:11" ht="12.75" customHeight="1" x14ac:dyDescent="0.3">
      <c r="A8" s="7" t="s">
        <v>10</v>
      </c>
      <c r="B8" s="6">
        <v>1605226</v>
      </c>
      <c r="C8" s="6">
        <v>2604254</v>
      </c>
      <c r="D8" s="6">
        <v>4585289</v>
      </c>
      <c r="E8" s="1"/>
      <c r="F8" s="1"/>
      <c r="G8" s="4"/>
      <c r="H8" s="1"/>
      <c r="I8" s="1"/>
      <c r="J8" s="1"/>
      <c r="K8" s="1"/>
    </row>
    <row r="9" spans="1:11" ht="12.75" customHeight="1" x14ac:dyDescent="0.3">
      <c r="A9" s="5" t="s">
        <v>11</v>
      </c>
      <c r="B9" s="6"/>
      <c r="C9" s="6"/>
      <c r="D9" s="6"/>
      <c r="E9" s="1"/>
      <c r="F9" s="1"/>
      <c r="G9" s="4"/>
      <c r="H9" s="1"/>
      <c r="I9" s="1"/>
      <c r="J9" s="1"/>
      <c r="K9" s="1"/>
    </row>
    <row r="10" spans="1:11" ht="12.75" customHeight="1" x14ac:dyDescent="0.3">
      <c r="A10" s="8" t="s">
        <v>12</v>
      </c>
      <c r="B10" s="6">
        <v>-420493</v>
      </c>
      <c r="C10" s="6">
        <v>-626023</v>
      </c>
      <c r="D10" s="6">
        <v>-767499</v>
      </c>
      <c r="E10" s="1"/>
      <c r="F10" s="1"/>
      <c r="G10" s="8"/>
      <c r="H10" s="1"/>
      <c r="I10" s="1"/>
      <c r="J10" s="1"/>
      <c r="K10" s="1"/>
    </row>
    <row r="11" spans="1:11" ht="12.75" customHeight="1" x14ac:dyDescent="0.3">
      <c r="A11" s="8" t="s">
        <v>13</v>
      </c>
      <c r="B11" s="6">
        <v>41725</v>
      </c>
      <c r="C11" s="6">
        <v>84000</v>
      </c>
      <c r="D11" s="6">
        <v>-618441</v>
      </c>
      <c r="E11" s="1"/>
      <c r="F11" s="1"/>
      <c r="G11" s="4"/>
      <c r="H11" s="1"/>
      <c r="I11" s="1"/>
      <c r="J11" s="1"/>
      <c r="K11" s="1"/>
    </row>
    <row r="12" spans="1:11" ht="12.75" customHeight="1" x14ac:dyDescent="0.3">
      <c r="A12" s="9" t="s">
        <v>14</v>
      </c>
      <c r="B12" s="6">
        <v>1226458</v>
      </c>
      <c r="C12" s="6">
        <v>2062231</v>
      </c>
      <c r="D12" s="6">
        <v>3199349</v>
      </c>
      <c r="E12" s="1"/>
      <c r="F12" s="1"/>
      <c r="G12" s="4"/>
      <c r="H12" s="1"/>
      <c r="I12" s="1"/>
      <c r="J12" s="1"/>
      <c r="K12" s="1"/>
    </row>
    <row r="13" spans="1:11" ht="12.75" customHeight="1" x14ac:dyDescent="0.3">
      <c r="A13" s="9" t="s">
        <v>15</v>
      </c>
      <c r="B13" s="6">
        <v>-15216</v>
      </c>
      <c r="C13" s="6">
        <v>-195315</v>
      </c>
      <c r="D13" s="6">
        <v>-437954</v>
      </c>
      <c r="E13" s="1"/>
      <c r="F13" s="1"/>
      <c r="G13" s="4"/>
      <c r="H13" s="1"/>
      <c r="I13" s="1"/>
      <c r="J13" s="1"/>
      <c r="K13" s="1"/>
    </row>
    <row r="14" spans="1:11" ht="12.75" customHeight="1" x14ac:dyDescent="0.3">
      <c r="A14" s="9" t="s">
        <v>16</v>
      </c>
      <c r="B14" s="6">
        <v>1211242</v>
      </c>
      <c r="C14" s="6">
        <v>1866916</v>
      </c>
      <c r="D14" s="6">
        <v>2761395</v>
      </c>
      <c r="E14" s="1"/>
      <c r="F14" s="1"/>
      <c r="G14" s="4"/>
      <c r="H14" s="1"/>
      <c r="I14" s="1"/>
      <c r="J14" s="1"/>
      <c r="K14" s="1"/>
    </row>
    <row r="15" spans="1:11" ht="12.75" customHeight="1" x14ac:dyDescent="0.3">
      <c r="A15" s="5"/>
      <c r="B15" s="5"/>
      <c r="C15" s="5"/>
      <c r="D15" s="5"/>
      <c r="E15" s="1"/>
      <c r="F15" s="1"/>
      <c r="G15" s="4"/>
      <c r="H15" s="1"/>
      <c r="I15" s="1"/>
      <c r="J15" s="1"/>
      <c r="K15" s="1"/>
    </row>
    <row r="16" spans="1:11" ht="12.75" customHeight="1" x14ac:dyDescent="0.3">
      <c r="A16" s="5"/>
      <c r="B16" s="5"/>
      <c r="C16" s="5"/>
      <c r="D16" s="5"/>
      <c r="E16" s="5"/>
      <c r="F16" s="1"/>
      <c r="G16" s="5"/>
      <c r="H16" s="1"/>
      <c r="I16" s="1"/>
      <c r="J16" s="1"/>
      <c r="K16" s="1"/>
    </row>
    <row r="17" spans="1:11" ht="12.75" customHeight="1" x14ac:dyDescent="0.3">
      <c r="A17" s="5"/>
      <c r="B17" s="5"/>
      <c r="C17" s="5"/>
      <c r="D17" s="5"/>
      <c r="E17" s="5"/>
      <c r="F17" s="1"/>
      <c r="G17" s="5"/>
      <c r="H17" s="1"/>
      <c r="I17" s="1"/>
      <c r="J17" s="1"/>
      <c r="K17" s="1"/>
    </row>
    <row r="18" spans="1:11" ht="12.75" customHeight="1" x14ac:dyDescent="0.3">
      <c r="A18" s="5"/>
      <c r="B18" s="1"/>
      <c r="C18" s="1"/>
      <c r="D18" s="1"/>
      <c r="E18" s="1"/>
      <c r="F18" s="1"/>
      <c r="G18" s="4"/>
      <c r="H18" s="1"/>
      <c r="I18" s="1"/>
      <c r="J18" s="1"/>
      <c r="K18" s="1"/>
    </row>
    <row r="19" spans="1:11" ht="12.75" customHeight="1" x14ac:dyDescent="0.3">
      <c r="A19" s="5"/>
      <c r="B19" s="1"/>
      <c r="C19" s="1"/>
      <c r="D19" s="1"/>
      <c r="E19" s="1"/>
      <c r="F19" s="1"/>
      <c r="G19" s="4"/>
      <c r="H19" s="1"/>
      <c r="I19" s="1"/>
      <c r="J19" s="1"/>
      <c r="K19" s="1"/>
    </row>
    <row r="20" spans="1:11" ht="12.75" customHeight="1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</row>
    <row r="21" spans="1:11" ht="12.75" customHeight="1" x14ac:dyDescent="0.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 ht="12.75" customHeight="1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</row>
    <row r="23" spans="1:11" ht="12.75" customHeight="1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 ht="12.75" customHeight="1" x14ac:dyDescent="0.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</row>
    <row r="25" spans="1:11" ht="12.75" customHeight="1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</row>
    <row r="26" spans="1:11" ht="12.75" customHeight="1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</row>
    <row r="27" spans="1:11" ht="12.75" customHeight="1" x14ac:dyDescent="0.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spans="1:11" ht="12.75" customHeight="1" x14ac:dyDescent="0.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</row>
    <row r="29" spans="1:11" ht="12.75" customHeight="1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</row>
    <row r="30" spans="1:11" ht="12.75" customHeight="1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 spans="1:11" ht="12.75" customHeight="1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</row>
    <row r="32" spans="1:11" ht="12.75" customHeight="1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</row>
    <row r="33" spans="1:11" ht="12.75" customHeight="1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</row>
    <row r="34" spans="1:11" ht="12.75" customHeight="1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spans="1:11" ht="12.75" customHeight="1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</row>
    <row r="36" spans="1:11" ht="12.75" customHeight="1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</row>
    <row r="37" spans="1:11" ht="12.75" customHeight="1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</row>
    <row r="38" spans="1:11" ht="12.75" customHeight="1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</row>
    <row r="39" spans="1:11" ht="12.75" customHeight="1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</row>
    <row r="40" spans="1:11" ht="12.75" customHeight="1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 spans="1:11" ht="12.75" customHeight="1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</row>
    <row r="42" spans="1:11" ht="12.75" customHeight="1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spans="1:11" ht="12.75" customHeight="1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</row>
    <row r="44" spans="1:11" ht="12.75" customHeight="1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</row>
    <row r="45" spans="1:11" ht="12.75" customHeight="1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  <row r="46" spans="1:11" ht="12.75" customHeight="1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</row>
    <row r="47" spans="1:11" ht="12.75" customHeight="1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</row>
    <row r="48" spans="1:11" ht="12.75" customHeight="1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spans="1:11" ht="12.75" customHeight="1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</row>
    <row r="50" spans="1:11" ht="12.75" customHeight="1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</row>
    <row r="51" spans="1:11" ht="12.75" customHeight="1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 spans="1:11" ht="12.75" customHeight="1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</row>
    <row r="53" spans="1:11" ht="12.75" customHeight="1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</row>
    <row r="54" spans="1:11" ht="12.75" customHeight="1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</row>
    <row r="55" spans="1:11" ht="12.75" customHeight="1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</row>
    <row r="56" spans="1:11" ht="12.75" customHeight="1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</row>
    <row r="57" spans="1:11" ht="12.75" customHeight="1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</row>
    <row r="58" spans="1:11" ht="12.75" customHeight="1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</row>
    <row r="59" spans="1:11" ht="12.75" customHeight="1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</row>
    <row r="60" spans="1:11" ht="12.75" customHeight="1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</row>
    <row r="61" spans="1:11" ht="12.75" customHeight="1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 spans="1:11" ht="12.75" customHeight="1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</row>
    <row r="63" spans="1:11" ht="12.75" customHeight="1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</row>
    <row r="64" spans="1:11" ht="12.75" customHeight="1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 spans="1:11" ht="12.75" customHeight="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  <row r="66" spans="1:11" ht="12.75" customHeight="1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</row>
    <row r="67" spans="1:11" ht="12.75" customHeight="1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</row>
    <row r="68" spans="1:11" ht="12.75" customHeight="1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</row>
    <row r="69" spans="1:11" ht="12.75" customHeight="1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</row>
    <row r="70" spans="1:11" ht="12.75" customHeight="1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</row>
    <row r="71" spans="1:11" ht="12.75" customHeight="1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</row>
    <row r="72" spans="1:11" ht="12.75" customHeight="1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</row>
    <row r="73" spans="1:11" ht="12.75" customHeight="1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</row>
    <row r="74" spans="1:11" ht="12.75" customHeight="1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</row>
    <row r="75" spans="1:11" ht="12.75" customHeight="1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</row>
    <row r="76" spans="1:11" ht="12.75" customHeight="1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</row>
    <row r="77" spans="1:11" ht="12.75" customHeight="1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</row>
    <row r="78" spans="1:11" ht="12.75" customHeight="1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</row>
    <row r="79" spans="1:11" ht="12.75" customHeight="1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</row>
    <row r="80" spans="1:11" ht="12.75" customHeight="1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</row>
    <row r="81" spans="1:11" ht="12.75" customHeight="1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</row>
    <row r="82" spans="1:11" ht="12.75" customHeight="1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</row>
    <row r="83" spans="1:11" ht="12.75" customHeight="1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</row>
    <row r="84" spans="1:11" ht="12.75" customHeight="1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</row>
    <row r="85" spans="1:11" ht="12.75" customHeight="1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</row>
    <row r="86" spans="1:11" ht="12.75" customHeight="1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</row>
    <row r="87" spans="1:11" ht="12.75" customHeight="1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</row>
    <row r="88" spans="1:11" ht="12.75" customHeight="1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</row>
    <row r="89" spans="1:11" ht="12.75" customHeight="1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</row>
    <row r="90" spans="1:11" ht="12.75" customHeight="1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</row>
    <row r="91" spans="1:11" ht="12.75" customHeight="1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</row>
    <row r="92" spans="1:11" ht="12.75" customHeight="1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</row>
    <row r="93" spans="1:11" ht="12.75" customHeight="1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</row>
    <row r="94" spans="1:11" ht="12.75" customHeight="1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</row>
    <row r="95" spans="1:11" ht="12.75" customHeight="1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</row>
    <row r="96" spans="1:11" ht="12.75" customHeight="1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</row>
    <row r="97" spans="1:11" ht="12.75" customHeight="1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</row>
    <row r="98" spans="1:11" ht="12.75" customHeight="1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</row>
    <row r="99" spans="1:11" ht="12.75" customHeight="1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</row>
    <row r="100" spans="1:11" ht="12.75" customHeight="1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</row>
    <row r="101" spans="1:11" ht="15.75" customHeight="1" x14ac:dyDescent="0.3"/>
    <row r="102" spans="1:11" ht="15.75" customHeight="1" x14ac:dyDescent="0.3"/>
    <row r="103" spans="1:11" ht="15.75" customHeight="1" x14ac:dyDescent="0.3"/>
    <row r="104" spans="1:11" ht="15.75" customHeight="1" x14ac:dyDescent="0.3"/>
    <row r="105" spans="1:11" ht="15.75" customHeight="1" x14ac:dyDescent="0.3"/>
    <row r="106" spans="1:11" ht="15.75" customHeight="1" x14ac:dyDescent="0.3"/>
    <row r="107" spans="1:11" ht="15.75" customHeight="1" x14ac:dyDescent="0.3"/>
    <row r="108" spans="1:11" ht="15.75" customHeight="1" x14ac:dyDescent="0.3"/>
    <row r="109" spans="1:11" ht="15.75" customHeight="1" x14ac:dyDescent="0.3"/>
    <row r="110" spans="1:11" ht="15.75" customHeight="1" x14ac:dyDescent="0.3"/>
    <row r="111" spans="1:11" ht="15.75" customHeight="1" x14ac:dyDescent="0.3"/>
    <row r="112" spans="1:11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1">
    <mergeCell ref="A1:D1"/>
  </mergeCells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000"/>
  <sheetViews>
    <sheetView topLeftCell="K13" workbookViewId="0">
      <selection activeCell="B26" sqref="B26"/>
    </sheetView>
  </sheetViews>
  <sheetFormatPr defaultColWidth="12.6640625" defaultRowHeight="15" customHeight="1" x14ac:dyDescent="0.3"/>
  <cols>
    <col min="1" max="1" width="45.25" customWidth="1"/>
    <col min="2" max="4" width="12.75" customWidth="1"/>
    <col min="5" max="5" width="9.1640625" customWidth="1"/>
    <col min="6" max="7" width="11.25" customWidth="1"/>
    <col min="8" max="8" width="12" customWidth="1"/>
    <col min="9" max="10" width="10.25" customWidth="1"/>
    <col min="11" max="11" width="9.1640625" customWidth="1"/>
    <col min="12" max="26" width="14.4140625" customWidth="1"/>
  </cols>
  <sheetData>
    <row r="1" spans="1:11" ht="25" x14ac:dyDescent="0.3">
      <c r="A1" s="121" t="s">
        <v>17</v>
      </c>
      <c r="B1" s="120"/>
      <c r="C1" s="120"/>
      <c r="D1" s="120"/>
      <c r="E1" s="1"/>
      <c r="F1" s="1"/>
      <c r="G1" s="1"/>
      <c r="H1" s="1"/>
      <c r="I1" s="1"/>
      <c r="J1" s="1"/>
      <c r="K1" s="1"/>
    </row>
    <row r="2" spans="1:11" ht="12" customHeight="1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</row>
    <row r="3" spans="1:11" ht="12" customHeight="1" x14ac:dyDescent="0.3">
      <c r="A3" s="2" t="s">
        <v>1</v>
      </c>
      <c r="B3" s="3" t="s">
        <v>2</v>
      </c>
      <c r="C3" s="3" t="s">
        <v>3</v>
      </c>
      <c r="D3" s="3" t="s">
        <v>4</v>
      </c>
      <c r="E3" s="1"/>
      <c r="F3" s="1"/>
      <c r="G3" s="1"/>
      <c r="H3" s="1"/>
      <c r="I3" s="1"/>
      <c r="J3" s="1"/>
      <c r="K3" s="1"/>
    </row>
    <row r="4" spans="1:11" ht="12" customHeight="1" x14ac:dyDescent="0.3">
      <c r="A4" s="10" t="s">
        <v>18</v>
      </c>
      <c r="B4" s="1"/>
      <c r="C4" s="1"/>
      <c r="D4" s="1"/>
      <c r="E4" s="11"/>
      <c r="F4" s="11"/>
      <c r="G4" s="1"/>
      <c r="H4" s="1"/>
      <c r="I4" s="1"/>
      <c r="J4" s="1"/>
      <c r="K4" s="1"/>
    </row>
    <row r="5" spans="1:11" ht="12" customHeight="1" x14ac:dyDescent="0.3">
      <c r="A5" s="11" t="s">
        <v>19</v>
      </c>
      <c r="B5" s="11"/>
      <c r="C5" s="10"/>
      <c r="D5" s="10"/>
      <c r="E5" s="11"/>
      <c r="F5" s="11"/>
      <c r="G5" s="1"/>
      <c r="H5" s="1"/>
      <c r="I5" s="1"/>
      <c r="J5" s="1"/>
      <c r="K5" s="1"/>
    </row>
    <row r="6" spans="1:11" ht="12" customHeight="1" x14ac:dyDescent="0.3">
      <c r="A6" s="11" t="s">
        <v>20</v>
      </c>
      <c r="B6" s="12">
        <v>3794483</v>
      </c>
      <c r="C6" s="13">
        <v>5018437</v>
      </c>
      <c r="D6" s="13">
        <v>8205550</v>
      </c>
      <c r="E6" s="11"/>
      <c r="F6" s="11" t="s">
        <v>21</v>
      </c>
      <c r="G6" s="1"/>
      <c r="H6" s="1"/>
      <c r="I6" s="1"/>
      <c r="J6" s="1"/>
      <c r="K6" s="1"/>
    </row>
    <row r="7" spans="1:11" ht="12" customHeight="1" x14ac:dyDescent="0.3">
      <c r="A7" s="11" t="s">
        <v>22</v>
      </c>
      <c r="B7" s="12">
        <f>748466+5151186</f>
        <v>5899652</v>
      </c>
      <c r="C7" s="14">
        <v>1160067</v>
      </c>
      <c r="D7" s="14">
        <v>1556030</v>
      </c>
      <c r="E7" s="11"/>
      <c r="F7" s="11" t="s">
        <v>23</v>
      </c>
      <c r="G7" s="1"/>
      <c r="H7" s="1"/>
      <c r="I7" s="1"/>
      <c r="J7" s="1"/>
      <c r="K7" s="1"/>
    </row>
    <row r="8" spans="1:11" ht="12" customHeight="1" x14ac:dyDescent="0.3">
      <c r="A8" s="11" t="s">
        <v>24</v>
      </c>
      <c r="B8" s="15">
        <f t="shared" ref="B8:D8" si="0">SUM(B6:B7)</f>
        <v>9694135</v>
      </c>
      <c r="C8" s="16">
        <f t="shared" si="0"/>
        <v>6178504</v>
      </c>
      <c r="D8" s="16">
        <f t="shared" si="0"/>
        <v>9761580</v>
      </c>
      <c r="E8" s="11"/>
      <c r="F8" s="1"/>
      <c r="G8" s="1"/>
      <c r="H8" s="1"/>
      <c r="I8" s="1"/>
      <c r="J8" s="1"/>
      <c r="K8" s="1"/>
    </row>
    <row r="9" spans="1:11" ht="12" customHeight="1" x14ac:dyDescent="0.3">
      <c r="A9" s="11" t="s">
        <v>25</v>
      </c>
      <c r="B9" s="12">
        <v>14951141</v>
      </c>
      <c r="C9" s="16">
        <v>24504567</v>
      </c>
      <c r="D9" s="16">
        <v>25383950</v>
      </c>
      <c r="E9" s="11"/>
      <c r="F9" s="11" t="s">
        <v>26</v>
      </c>
      <c r="G9" s="1"/>
      <c r="H9" s="1"/>
      <c r="I9" s="1"/>
      <c r="J9" s="1"/>
      <c r="K9" s="1"/>
    </row>
    <row r="10" spans="1:11" ht="12" customHeight="1" x14ac:dyDescent="0.3">
      <c r="A10" s="11" t="s">
        <v>27</v>
      </c>
      <c r="B10" s="12">
        <v>418281</v>
      </c>
      <c r="C10" s="16">
        <v>565221</v>
      </c>
      <c r="D10" s="16">
        <v>960183</v>
      </c>
      <c r="E10" s="11"/>
      <c r="F10" s="17" t="s">
        <v>26</v>
      </c>
      <c r="G10" s="6"/>
      <c r="H10" s="6"/>
      <c r="I10" s="1"/>
      <c r="J10" s="1"/>
      <c r="K10" s="1"/>
    </row>
    <row r="11" spans="1:11" ht="12" customHeight="1" x14ac:dyDescent="0.3">
      <c r="A11" s="11" t="s">
        <v>28</v>
      </c>
      <c r="B11" s="12">
        <v>910843</v>
      </c>
      <c r="C11" s="16">
        <v>2727420</v>
      </c>
      <c r="D11" s="16">
        <v>3174646</v>
      </c>
      <c r="E11" s="11"/>
      <c r="F11" s="6"/>
      <c r="G11" s="6"/>
      <c r="H11" s="6"/>
      <c r="I11" s="1"/>
      <c r="J11" s="1"/>
      <c r="K11" s="1"/>
    </row>
    <row r="12" spans="1:11" ht="12" customHeight="1" x14ac:dyDescent="0.3">
      <c r="A12" s="10" t="s">
        <v>29</v>
      </c>
      <c r="B12" s="18">
        <f t="shared" ref="B12:D12" si="1">SUM(B8:B11)</f>
        <v>25974400</v>
      </c>
      <c r="C12" s="18">
        <f t="shared" si="1"/>
        <v>33975712</v>
      </c>
      <c r="D12" s="18">
        <f t="shared" si="1"/>
        <v>39280359</v>
      </c>
      <c r="E12" s="10"/>
      <c r="F12" s="6"/>
      <c r="G12" s="6"/>
      <c r="H12" s="6"/>
      <c r="I12" s="1"/>
      <c r="J12" s="1"/>
      <c r="K12" s="1"/>
    </row>
    <row r="13" spans="1:11" ht="12" customHeight="1" x14ac:dyDescent="0.3">
      <c r="A13" s="10"/>
      <c r="B13" s="13"/>
      <c r="C13" s="13"/>
      <c r="D13" s="13"/>
      <c r="E13" s="10"/>
      <c r="F13" s="1"/>
      <c r="G13" s="1"/>
      <c r="H13" s="1"/>
      <c r="I13" s="1"/>
      <c r="J13" s="1"/>
      <c r="K13" s="1"/>
    </row>
    <row r="14" spans="1:11" ht="12" customHeight="1" x14ac:dyDescent="0.3">
      <c r="A14" s="10" t="s">
        <v>30</v>
      </c>
      <c r="B14" s="11"/>
      <c r="C14" s="19"/>
      <c r="D14" s="19"/>
      <c r="E14" s="11"/>
      <c r="F14" s="11"/>
      <c r="G14" s="1"/>
      <c r="H14" s="1"/>
      <c r="I14" s="1"/>
      <c r="J14" s="1"/>
      <c r="K14" s="1"/>
    </row>
    <row r="15" spans="1:11" ht="12" customHeight="1" x14ac:dyDescent="0.3">
      <c r="A15" s="11" t="s">
        <v>31</v>
      </c>
      <c r="B15" s="11"/>
      <c r="C15" s="16"/>
      <c r="D15" s="16"/>
      <c r="E15" s="11"/>
      <c r="F15" s="11"/>
      <c r="G15" s="1"/>
      <c r="H15" s="1"/>
      <c r="I15" s="1"/>
      <c r="J15" s="1"/>
      <c r="K15" s="1"/>
    </row>
    <row r="16" spans="1:11" ht="12" customHeight="1" x14ac:dyDescent="0.3">
      <c r="A16" s="11" t="s">
        <v>32</v>
      </c>
      <c r="B16" s="12">
        <v>4681562</v>
      </c>
      <c r="C16" s="13">
        <v>4413561</v>
      </c>
      <c r="D16" s="13">
        <v>4429536</v>
      </c>
      <c r="E16" s="11"/>
      <c r="F16" s="20"/>
      <c r="G16" s="1"/>
      <c r="H16" s="21"/>
      <c r="I16" s="21"/>
      <c r="J16" s="1"/>
      <c r="K16" s="1"/>
    </row>
    <row r="17" spans="1:11" ht="12" customHeight="1" x14ac:dyDescent="0.3">
      <c r="A17" s="11" t="s">
        <v>33</v>
      </c>
      <c r="B17" s="12">
        <v>562985</v>
      </c>
      <c r="C17" s="16">
        <v>674347</v>
      </c>
      <c r="D17" s="16">
        <v>656183</v>
      </c>
      <c r="E17" s="11"/>
      <c r="F17" s="11" t="s">
        <v>23</v>
      </c>
      <c r="G17" s="1"/>
      <c r="H17" s="21"/>
      <c r="I17" s="21"/>
      <c r="J17" s="1"/>
      <c r="K17" s="1"/>
    </row>
    <row r="18" spans="1:11" ht="12" customHeight="1" x14ac:dyDescent="0.3">
      <c r="A18" s="11" t="s">
        <v>34</v>
      </c>
      <c r="B18" s="12">
        <v>481874</v>
      </c>
      <c r="C18" s="16">
        <v>843043</v>
      </c>
      <c r="D18" s="16">
        <v>1102196</v>
      </c>
      <c r="E18" s="11"/>
      <c r="F18" s="11"/>
      <c r="G18" s="1"/>
      <c r="H18" s="1"/>
      <c r="I18" s="1"/>
      <c r="J18" s="1"/>
      <c r="K18" s="1"/>
    </row>
    <row r="19" spans="1:11" ht="12" customHeight="1" x14ac:dyDescent="0.3">
      <c r="A19" s="11" t="s">
        <v>35</v>
      </c>
      <c r="B19" s="12">
        <v>760899</v>
      </c>
      <c r="C19" s="16">
        <v>924745</v>
      </c>
      <c r="D19" s="16">
        <v>1117992</v>
      </c>
      <c r="E19" s="11"/>
      <c r="F19" s="11"/>
      <c r="G19" s="1"/>
      <c r="H19" s="1"/>
      <c r="I19" s="1"/>
      <c r="J19" s="1"/>
      <c r="K19" s="1"/>
    </row>
    <row r="20" spans="1:11" ht="12" customHeight="1" x14ac:dyDescent="0.3">
      <c r="A20" s="11" t="s">
        <v>36</v>
      </c>
      <c r="B20" s="14">
        <v>0</v>
      </c>
      <c r="C20" s="14">
        <v>0</v>
      </c>
      <c r="D20" s="14">
        <v>499878</v>
      </c>
      <c r="E20" s="11"/>
      <c r="F20" s="11"/>
      <c r="G20" s="1"/>
      <c r="H20" s="1"/>
      <c r="I20" s="1"/>
      <c r="J20" s="1"/>
      <c r="K20" s="1"/>
    </row>
    <row r="21" spans="1:11" ht="12" customHeight="1" x14ac:dyDescent="0.3">
      <c r="A21" s="11" t="s">
        <v>37</v>
      </c>
      <c r="B21" s="15">
        <f t="shared" ref="B21:D21" si="2">SUM(B16:B20)</f>
        <v>6487320</v>
      </c>
      <c r="C21" s="16">
        <f t="shared" si="2"/>
        <v>6855696</v>
      </c>
      <c r="D21" s="16">
        <f t="shared" si="2"/>
        <v>7805785</v>
      </c>
      <c r="E21" s="11"/>
      <c r="F21" s="1"/>
      <c r="G21" s="1"/>
      <c r="H21" s="1"/>
      <c r="I21" s="1"/>
      <c r="J21" s="1"/>
      <c r="K21" s="1"/>
    </row>
    <row r="22" spans="1:11" ht="12" customHeight="1" x14ac:dyDescent="0.3">
      <c r="A22" s="11" t="s">
        <v>38</v>
      </c>
      <c r="B22" s="12">
        <v>3759026</v>
      </c>
      <c r="C22" s="16">
        <v>3334323</v>
      </c>
      <c r="D22" s="16">
        <v>2618084</v>
      </c>
      <c r="E22" s="11"/>
      <c r="F22" s="11"/>
      <c r="G22" s="1"/>
      <c r="H22" s="1"/>
      <c r="I22" s="1"/>
      <c r="J22" s="1"/>
      <c r="K22" s="1"/>
    </row>
    <row r="23" spans="1:11" ht="12" customHeight="1" x14ac:dyDescent="0.3">
      <c r="A23" s="11" t="s">
        <v>39</v>
      </c>
      <c r="B23" s="12">
        <v>10360058</v>
      </c>
      <c r="C23" s="16">
        <v>14759260</v>
      </c>
      <c r="D23" s="16">
        <v>15809095</v>
      </c>
      <c r="E23" s="11"/>
      <c r="F23" s="11"/>
      <c r="G23" s="6"/>
      <c r="H23" s="1"/>
      <c r="I23" s="1"/>
      <c r="J23" s="1"/>
      <c r="K23" s="1"/>
    </row>
    <row r="24" spans="1:11" ht="12" customHeight="1" x14ac:dyDescent="0.3">
      <c r="A24" s="11" t="s">
        <v>40</v>
      </c>
      <c r="B24" s="12">
        <v>129231</v>
      </c>
      <c r="C24" s="14">
        <v>1444276</v>
      </c>
      <c r="D24" s="14">
        <v>1982155</v>
      </c>
      <c r="E24" s="11"/>
      <c r="F24" s="20"/>
      <c r="G24" s="20"/>
      <c r="H24" s="20"/>
      <c r="I24" s="1"/>
      <c r="J24" s="1"/>
      <c r="K24" s="1"/>
    </row>
    <row r="25" spans="1:11" ht="12" customHeight="1" x14ac:dyDescent="0.3">
      <c r="A25" s="10" t="s">
        <v>41</v>
      </c>
      <c r="B25" s="15">
        <f t="shared" ref="B25:D25" si="3">SUM(B21:B24)</f>
        <v>20735635</v>
      </c>
      <c r="C25" s="16">
        <f t="shared" si="3"/>
        <v>26393555</v>
      </c>
      <c r="D25" s="16">
        <f t="shared" si="3"/>
        <v>28215119</v>
      </c>
      <c r="E25" s="11"/>
      <c r="F25" s="1"/>
      <c r="G25" s="1"/>
      <c r="H25" s="1"/>
      <c r="I25" s="1"/>
      <c r="J25" s="1"/>
      <c r="K25" s="1"/>
    </row>
    <row r="26" spans="1:11" ht="12" customHeight="1" x14ac:dyDescent="0.3">
      <c r="A26" s="11" t="s">
        <v>42</v>
      </c>
      <c r="B26" s="11"/>
      <c r="C26" s="16"/>
      <c r="D26" s="16"/>
      <c r="E26" s="11"/>
      <c r="F26" s="11"/>
      <c r="G26" s="1"/>
      <c r="H26" s="1"/>
      <c r="I26" s="1"/>
      <c r="J26" s="1"/>
      <c r="K26" s="1"/>
    </row>
    <row r="27" spans="1:11" ht="12" customHeight="1" x14ac:dyDescent="0.3">
      <c r="A27" s="11" t="s">
        <v>43</v>
      </c>
      <c r="B27" s="16">
        <v>2315988</v>
      </c>
      <c r="C27" s="16">
        <v>2793929</v>
      </c>
      <c r="D27" s="16">
        <v>3447698</v>
      </c>
      <c r="E27" s="22"/>
      <c r="F27" s="1"/>
      <c r="G27" s="1"/>
      <c r="H27" s="1"/>
      <c r="I27" s="1"/>
      <c r="J27" s="1"/>
      <c r="K27" s="1"/>
    </row>
    <row r="28" spans="1:11" ht="12" customHeight="1" x14ac:dyDescent="0.3">
      <c r="A28" s="11" t="s">
        <v>44</v>
      </c>
      <c r="B28" s="22"/>
      <c r="C28" s="16">
        <v>0</v>
      </c>
      <c r="D28" s="16">
        <v>0</v>
      </c>
      <c r="E28" s="22"/>
      <c r="F28" s="1"/>
      <c r="G28" s="1"/>
      <c r="H28" s="1"/>
      <c r="I28" s="1"/>
      <c r="J28" s="1"/>
      <c r="K28" s="1"/>
    </row>
    <row r="29" spans="1:11" ht="12" customHeight="1" x14ac:dyDescent="0.3">
      <c r="A29" s="11" t="s">
        <v>45</v>
      </c>
      <c r="B29" s="16">
        <v>-19582</v>
      </c>
      <c r="C29" s="16">
        <v>-23521</v>
      </c>
      <c r="D29" s="16">
        <v>44398</v>
      </c>
      <c r="E29" s="11"/>
      <c r="F29" s="1"/>
      <c r="G29" s="1"/>
      <c r="H29" s="1"/>
      <c r="I29" s="1"/>
      <c r="J29" s="1"/>
      <c r="K29" s="1"/>
    </row>
    <row r="30" spans="1:11" ht="12" customHeight="1" x14ac:dyDescent="0.3">
      <c r="A30" s="11" t="s">
        <v>46</v>
      </c>
      <c r="B30" s="12">
        <v>2942359</v>
      </c>
      <c r="C30" s="14">
        <v>4811749</v>
      </c>
      <c r="D30" s="14">
        <v>7573144</v>
      </c>
      <c r="E30" s="11"/>
      <c r="F30" s="1"/>
      <c r="G30" s="6"/>
      <c r="H30" s="6"/>
      <c r="I30" s="1"/>
      <c r="J30" s="1"/>
      <c r="K30" s="1"/>
    </row>
    <row r="31" spans="1:11" ht="12" customHeight="1" x14ac:dyDescent="0.3">
      <c r="A31" s="10" t="s">
        <v>47</v>
      </c>
      <c r="B31" s="23">
        <f t="shared" ref="B31:D31" si="4">SUM(B27:B30)</f>
        <v>5238765</v>
      </c>
      <c r="C31" s="16">
        <f t="shared" si="4"/>
        <v>7582157</v>
      </c>
      <c r="D31" s="16">
        <f t="shared" si="4"/>
        <v>11065240</v>
      </c>
      <c r="E31" s="1"/>
      <c r="F31" s="1"/>
      <c r="G31" s="1"/>
      <c r="H31" s="1"/>
      <c r="I31" s="1"/>
      <c r="J31" s="1"/>
      <c r="K31" s="1"/>
    </row>
    <row r="32" spans="1:11" ht="12" customHeight="1" x14ac:dyDescent="0.3">
      <c r="A32" s="10" t="s">
        <v>48</v>
      </c>
      <c r="B32" s="18">
        <f t="shared" ref="B32:D32" si="5">B25+B31</f>
        <v>25974400</v>
      </c>
      <c r="C32" s="18">
        <f t="shared" si="5"/>
        <v>33975712</v>
      </c>
      <c r="D32" s="18">
        <f t="shared" si="5"/>
        <v>39280359</v>
      </c>
      <c r="E32" s="1"/>
      <c r="F32" s="1"/>
      <c r="G32" s="1"/>
      <c r="H32" s="1"/>
      <c r="I32" s="1"/>
      <c r="J32" s="1"/>
      <c r="K32" s="1"/>
    </row>
    <row r="33" spans="1:11" ht="12" customHeight="1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</row>
    <row r="34" spans="1:11" ht="12" customHeight="1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spans="1:11" ht="12" customHeight="1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</row>
    <row r="36" spans="1:11" ht="12" customHeight="1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</row>
    <row r="37" spans="1:11" ht="12" customHeight="1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</row>
    <row r="38" spans="1:11" ht="12" customHeight="1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</row>
    <row r="39" spans="1:11" ht="12" customHeight="1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</row>
    <row r="40" spans="1:11" ht="12" customHeight="1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 spans="1:11" ht="12" customHeight="1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</row>
    <row r="42" spans="1:11" ht="12" customHeight="1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spans="1:11" ht="12" customHeight="1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</row>
    <row r="44" spans="1:11" ht="12" customHeight="1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</row>
    <row r="45" spans="1:11" ht="12" customHeight="1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  <row r="46" spans="1:11" ht="12" customHeight="1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</row>
    <row r="47" spans="1:11" ht="12" customHeight="1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</row>
    <row r="48" spans="1:11" ht="12" customHeight="1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spans="1:11" ht="12" customHeight="1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</row>
    <row r="50" spans="1:11" ht="12" customHeight="1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</row>
    <row r="51" spans="1:11" ht="12" customHeight="1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 spans="1:11" ht="12" customHeight="1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</row>
    <row r="53" spans="1:11" ht="12" customHeight="1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</row>
    <row r="54" spans="1:11" ht="12" customHeight="1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</row>
    <row r="55" spans="1:11" ht="12" customHeight="1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</row>
    <row r="56" spans="1:11" ht="12" customHeight="1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</row>
    <row r="57" spans="1:11" ht="12" customHeight="1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</row>
    <row r="58" spans="1:11" ht="12" customHeight="1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</row>
    <row r="59" spans="1:11" ht="12" customHeight="1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</row>
    <row r="60" spans="1:11" ht="12" customHeight="1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</row>
    <row r="61" spans="1:11" ht="12" customHeight="1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 spans="1:11" ht="12" customHeight="1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</row>
    <row r="63" spans="1:11" ht="12" customHeight="1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</row>
    <row r="64" spans="1:11" ht="12" customHeight="1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 spans="1:11" ht="12" customHeight="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  <row r="66" spans="1:11" ht="12" customHeight="1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</row>
    <row r="67" spans="1:11" ht="12" customHeight="1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</row>
    <row r="68" spans="1:11" ht="12" customHeight="1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</row>
    <row r="69" spans="1:11" ht="12" customHeight="1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</row>
    <row r="70" spans="1:11" ht="12" customHeight="1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</row>
    <row r="71" spans="1:11" ht="12" customHeight="1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</row>
    <row r="72" spans="1:11" ht="12" customHeight="1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</row>
    <row r="73" spans="1:11" ht="12" customHeight="1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</row>
    <row r="74" spans="1:11" ht="12" customHeight="1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</row>
    <row r="75" spans="1:11" ht="12" customHeight="1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</row>
    <row r="76" spans="1:11" ht="12" customHeight="1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</row>
    <row r="77" spans="1:11" ht="12" customHeight="1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</row>
    <row r="78" spans="1:11" ht="12" customHeight="1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</row>
    <row r="79" spans="1:11" ht="12" customHeight="1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</row>
    <row r="80" spans="1:11" ht="12" customHeight="1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</row>
    <row r="81" spans="1:11" ht="12" customHeight="1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</row>
    <row r="82" spans="1:11" ht="12" customHeight="1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</row>
    <row r="83" spans="1:11" ht="12" customHeight="1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</row>
    <row r="84" spans="1:11" ht="12" customHeight="1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</row>
    <row r="85" spans="1:11" ht="12" customHeight="1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</row>
    <row r="86" spans="1:11" ht="12" customHeight="1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</row>
    <row r="87" spans="1:11" ht="12" customHeight="1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</row>
    <row r="88" spans="1:11" ht="12" customHeight="1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</row>
    <row r="89" spans="1:11" ht="12" customHeight="1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</row>
    <row r="90" spans="1:11" ht="12" customHeight="1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</row>
    <row r="91" spans="1:11" ht="12" customHeight="1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</row>
    <row r="92" spans="1:11" ht="12" customHeight="1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</row>
    <row r="93" spans="1:11" ht="12" customHeight="1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</row>
    <row r="94" spans="1:11" ht="12" customHeight="1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</row>
    <row r="95" spans="1:11" ht="12" customHeight="1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</row>
    <row r="96" spans="1:11" ht="12" customHeight="1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</row>
    <row r="97" spans="1:11" ht="12" customHeight="1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</row>
    <row r="98" spans="1:11" ht="12" customHeight="1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</row>
    <row r="99" spans="1:11" ht="12" customHeight="1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</row>
    <row r="100" spans="1:11" ht="12" customHeight="1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</row>
    <row r="101" spans="1:11" ht="15.75" customHeight="1" x14ac:dyDescent="0.3"/>
    <row r="102" spans="1:11" ht="15.75" customHeight="1" x14ac:dyDescent="0.3"/>
    <row r="103" spans="1:11" ht="15.75" customHeight="1" x14ac:dyDescent="0.3"/>
    <row r="104" spans="1:11" ht="15.75" customHeight="1" x14ac:dyDescent="0.3"/>
    <row r="105" spans="1:11" ht="15.75" customHeight="1" x14ac:dyDescent="0.3"/>
    <row r="106" spans="1:11" ht="15.75" customHeight="1" x14ac:dyDescent="0.3"/>
    <row r="107" spans="1:11" ht="15.75" customHeight="1" x14ac:dyDescent="0.3"/>
    <row r="108" spans="1:11" ht="15.75" customHeight="1" x14ac:dyDescent="0.3"/>
    <row r="109" spans="1:11" ht="15.75" customHeight="1" x14ac:dyDescent="0.3"/>
    <row r="110" spans="1:11" ht="15.75" customHeight="1" x14ac:dyDescent="0.3"/>
    <row r="111" spans="1:11" ht="15.75" customHeight="1" x14ac:dyDescent="0.3"/>
    <row r="112" spans="1:11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1">
    <mergeCell ref="A1:D1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000"/>
  <sheetViews>
    <sheetView workbookViewId="0">
      <pane ySplit="2" topLeftCell="A3" activePane="bottomLeft" state="frozen"/>
      <selection pane="bottomLeft" activeCell="F6" sqref="F6"/>
    </sheetView>
  </sheetViews>
  <sheetFormatPr defaultColWidth="12.6640625" defaultRowHeight="15" customHeight="1" x14ac:dyDescent="0.3"/>
  <cols>
    <col min="1" max="1" width="59.6640625" customWidth="1"/>
    <col min="2" max="4" width="14.4140625" customWidth="1"/>
    <col min="5" max="5" width="15.6640625" customWidth="1"/>
    <col min="6" max="6" width="16.75" customWidth="1"/>
    <col min="7" max="7" width="19.6640625" customWidth="1"/>
    <col min="8" max="8" width="16.9140625" customWidth="1"/>
    <col min="9" max="11" width="8.75" customWidth="1"/>
    <col min="12" max="26" width="14.4140625" customWidth="1"/>
  </cols>
  <sheetData>
    <row r="1" spans="1:12" ht="14.25" customHeight="1" x14ac:dyDescent="0.3">
      <c r="A1" s="24" t="s">
        <v>49</v>
      </c>
      <c r="B1" s="25"/>
      <c r="C1" s="25"/>
      <c r="D1" s="25"/>
      <c r="E1" s="25"/>
      <c r="F1" s="25"/>
      <c r="G1" s="25"/>
    </row>
    <row r="2" spans="1:12" ht="14.25" customHeight="1" x14ac:dyDescent="0.3">
      <c r="A2" s="2" t="s">
        <v>1</v>
      </c>
      <c r="B2" s="3" t="s">
        <v>2</v>
      </c>
      <c r="C2" s="3" t="s">
        <v>3</v>
      </c>
      <c r="D2" s="3" t="s">
        <v>4</v>
      </c>
      <c r="E2" s="3" t="s">
        <v>139</v>
      </c>
      <c r="F2" s="3" t="s">
        <v>140</v>
      </c>
      <c r="G2" s="92" t="s">
        <v>141</v>
      </c>
      <c r="H2" s="93" t="s">
        <v>142</v>
      </c>
    </row>
    <row r="3" spans="1:12" ht="14.25" customHeight="1" x14ac:dyDescent="0.3">
      <c r="A3" s="25" t="s">
        <v>50</v>
      </c>
      <c r="B3" s="26">
        <f t="shared" ref="B3:D3" si="0">B10+B17+B24+B31</f>
        <v>15428752</v>
      </c>
      <c r="C3" s="26">
        <f t="shared" si="0"/>
        <v>19859230</v>
      </c>
      <c r="D3" s="26">
        <f t="shared" si="0"/>
        <v>24756675</v>
      </c>
      <c r="E3" s="26">
        <f>E10+E17+E24+E31</f>
        <v>28450601.211875249</v>
      </c>
      <c r="F3" s="26">
        <f t="shared" ref="F3:H3" si="1">F10+F17+F24+F31</f>
        <v>33461471.562312212</v>
      </c>
      <c r="G3" s="26">
        <f t="shared" si="1"/>
        <v>38173270.285082638</v>
      </c>
      <c r="H3" s="26">
        <f t="shared" si="1"/>
        <v>42882607.805020079</v>
      </c>
    </row>
    <row r="4" spans="1:12" ht="14.25" customHeight="1" x14ac:dyDescent="0.3">
      <c r="A4" s="25" t="s">
        <v>51</v>
      </c>
      <c r="B4" s="27">
        <v>365589</v>
      </c>
      <c r="C4" s="27">
        <v>297217</v>
      </c>
      <c r="D4" s="27">
        <v>239381</v>
      </c>
      <c r="E4" s="27">
        <f>D4*(1+E5)</f>
        <v>193705.83812687785</v>
      </c>
      <c r="F4" s="27">
        <f t="shared" ref="F4:H4" si="2">E4*(1+F5)</f>
        <v>156379.00173325167</v>
      </c>
      <c r="G4" s="27">
        <f t="shared" si="2"/>
        <v>126393.02674674911</v>
      </c>
      <c r="H4" s="27">
        <f t="shared" si="2"/>
        <v>102097.09627329883</v>
      </c>
      <c r="L4" s="95" t="s">
        <v>146</v>
      </c>
    </row>
    <row r="5" spans="1:12" ht="14.25" customHeight="1" x14ac:dyDescent="0.3">
      <c r="A5" s="28" t="s">
        <v>52</v>
      </c>
      <c r="B5" s="25"/>
      <c r="C5" s="29">
        <f>(C4/B4-1)</f>
        <v>-0.18701875603478224</v>
      </c>
      <c r="D5" s="29">
        <f t="shared" ref="D5" si="3">D4/C4-1</f>
        <v>-0.19459183021159621</v>
      </c>
      <c r="E5" s="29">
        <f>AVERAGE(C5:D5)</f>
        <v>-0.19080529312318922</v>
      </c>
      <c r="F5" s="29">
        <f t="shared" ref="F5:H5" si="4">AVERAGE(D5:E5)</f>
        <v>-0.19269856166739271</v>
      </c>
      <c r="G5" s="29">
        <f t="shared" si="4"/>
        <v>-0.19175192739529096</v>
      </c>
      <c r="H5" s="29">
        <f t="shared" si="4"/>
        <v>-0.19222524453134182</v>
      </c>
      <c r="L5" s="96" t="s">
        <v>147</v>
      </c>
    </row>
    <row r="6" spans="1:12" ht="14.25" customHeight="1" x14ac:dyDescent="0.3">
      <c r="A6" s="30" t="s">
        <v>53</v>
      </c>
      <c r="B6" s="31">
        <f>B3+B4</f>
        <v>15794341</v>
      </c>
      <c r="C6" s="31">
        <f>C3+C4</f>
        <v>20156447</v>
      </c>
      <c r="D6" s="31">
        <f>D3+D4</f>
        <v>24996056</v>
      </c>
      <c r="E6" s="31">
        <f>E3+E4</f>
        <v>28644307.050002128</v>
      </c>
      <c r="F6" s="31">
        <f t="shared" ref="F6:H6" si="5">F3+F4</f>
        <v>33617850.564045466</v>
      </c>
      <c r="G6" s="31">
        <f t="shared" si="5"/>
        <v>38299663.311829388</v>
      </c>
      <c r="H6" s="31">
        <f t="shared" si="5"/>
        <v>42984704.901293375</v>
      </c>
      <c r="L6" s="96" t="s">
        <v>148</v>
      </c>
    </row>
    <row r="7" spans="1:12" ht="14.25" customHeight="1" x14ac:dyDescent="0.3">
      <c r="A7" s="25"/>
      <c r="B7" s="25"/>
      <c r="C7" s="25"/>
      <c r="D7" s="25"/>
      <c r="E7" s="25"/>
      <c r="F7" s="25"/>
      <c r="G7" s="25"/>
      <c r="H7" s="25"/>
    </row>
    <row r="8" spans="1:12" ht="24" customHeight="1" x14ac:dyDescent="0.3">
      <c r="A8" s="94" t="s">
        <v>143</v>
      </c>
      <c r="B8" s="25"/>
      <c r="C8" s="25"/>
      <c r="D8" s="25"/>
      <c r="E8" s="25"/>
      <c r="F8" s="25"/>
      <c r="G8" s="25"/>
      <c r="H8" s="25"/>
      <c r="J8" s="95" t="s">
        <v>144</v>
      </c>
    </row>
    <row r="9" spans="1:12" ht="14.25" customHeight="1" x14ac:dyDescent="0.3">
      <c r="A9" s="24" t="s">
        <v>54</v>
      </c>
      <c r="B9" s="25"/>
      <c r="C9" s="25"/>
      <c r="D9" s="25"/>
      <c r="E9" s="25"/>
      <c r="F9" s="25"/>
      <c r="G9" s="25"/>
      <c r="H9" s="25"/>
      <c r="I9" s="122" t="s">
        <v>55</v>
      </c>
      <c r="J9" s="123"/>
      <c r="K9" s="123"/>
    </row>
    <row r="10" spans="1:12" ht="14.25" customHeight="1" x14ac:dyDescent="0.3">
      <c r="A10" s="25" t="s">
        <v>5</v>
      </c>
      <c r="B10" s="26">
        <v>8281532</v>
      </c>
      <c r="C10" s="26">
        <v>10051208</v>
      </c>
      <c r="D10" s="26">
        <v>11455396</v>
      </c>
      <c r="E10" s="26">
        <f t="shared" ref="E10:H10" si="6">E11*E12</f>
        <v>11434119.486583754</v>
      </c>
      <c r="F10" s="26">
        <f t="shared" si="6"/>
        <v>12309278.929338679</v>
      </c>
      <c r="G10" s="26">
        <f t="shared" si="6"/>
        <v>13251422.458725005</v>
      </c>
      <c r="H10" s="26">
        <f t="shared" si="6"/>
        <v>14265676.989499792</v>
      </c>
      <c r="I10" s="32">
        <v>2018</v>
      </c>
      <c r="J10" s="32">
        <v>2019</v>
      </c>
      <c r="K10" s="32">
        <v>2020</v>
      </c>
    </row>
    <row r="11" spans="1:12" ht="14.25" customHeight="1" x14ac:dyDescent="0.3">
      <c r="A11" s="25" t="s">
        <v>56</v>
      </c>
      <c r="B11" s="33">
        <f t="shared" ref="B11:D11" si="7">I11*12</f>
        <v>133.92000000000002</v>
      </c>
      <c r="C11" s="33">
        <f t="shared" si="7"/>
        <v>150.84</v>
      </c>
      <c r="D11" s="33">
        <f t="shared" si="7"/>
        <v>159.84</v>
      </c>
      <c r="E11" s="33">
        <f t="shared" ref="E11:H11" si="8">AVERAGE($B$11:$D$11)</f>
        <v>148.20000000000002</v>
      </c>
      <c r="F11" s="33">
        <f t="shared" si="8"/>
        <v>148.20000000000002</v>
      </c>
      <c r="G11" s="33">
        <f t="shared" si="8"/>
        <v>148.20000000000002</v>
      </c>
      <c r="H11" s="33">
        <f t="shared" si="8"/>
        <v>148.20000000000002</v>
      </c>
      <c r="I11" s="34">
        <v>11.16</v>
      </c>
      <c r="J11" s="34">
        <v>12.57</v>
      </c>
      <c r="K11" s="34">
        <v>13.32</v>
      </c>
    </row>
    <row r="12" spans="1:12" ht="14.25" customHeight="1" x14ac:dyDescent="0.3">
      <c r="A12" s="25" t="s">
        <v>57</v>
      </c>
      <c r="B12" s="26">
        <f t="shared" ref="B12:D12" si="9">B10/B11</f>
        <v>61839.396654719225</v>
      </c>
      <c r="C12" s="26">
        <f t="shared" si="9"/>
        <v>66634.897905064965</v>
      </c>
      <c r="D12" s="26">
        <f t="shared" si="9"/>
        <v>71667.892892892894</v>
      </c>
      <c r="E12" s="26">
        <f t="shared" ref="E12:H12" si="10">D12*(1+E13)</f>
        <v>77153.302878432878</v>
      </c>
      <c r="F12" s="26">
        <f t="shared" si="10"/>
        <v>83058.56227623939</v>
      </c>
      <c r="G12" s="26">
        <f t="shared" si="10"/>
        <v>89415.806064271281</v>
      </c>
      <c r="H12" s="26">
        <f t="shared" si="10"/>
        <v>96259.628809040427</v>
      </c>
      <c r="I12" s="25"/>
      <c r="J12" s="25"/>
      <c r="K12" s="25"/>
    </row>
    <row r="13" spans="1:12" ht="14.25" customHeight="1" x14ac:dyDescent="0.3">
      <c r="A13" s="28" t="s">
        <v>52</v>
      </c>
      <c r="B13" s="25"/>
      <c r="C13" s="29">
        <f t="shared" ref="C13:D13" si="11">C12/B12-1</f>
        <v>7.7547672030525483E-2</v>
      </c>
      <c r="D13" s="29">
        <f t="shared" si="11"/>
        <v>7.5530917673175768E-2</v>
      </c>
      <c r="E13" s="29">
        <f t="shared" ref="E13:H13" si="12">AVERAGE($C$13:$D$13)</f>
        <v>7.6539294851850626E-2</v>
      </c>
      <c r="F13" s="29">
        <f t="shared" si="12"/>
        <v>7.6539294851850626E-2</v>
      </c>
      <c r="G13" s="29">
        <f t="shared" si="12"/>
        <v>7.6539294851850626E-2</v>
      </c>
      <c r="H13" s="29">
        <f t="shared" si="12"/>
        <v>7.6539294851850626E-2</v>
      </c>
      <c r="I13" s="25"/>
      <c r="J13" s="25"/>
      <c r="K13" s="25"/>
    </row>
    <row r="14" spans="1:12" ht="14.25" customHeight="1" x14ac:dyDescent="0.3">
      <c r="A14" s="25"/>
      <c r="B14" s="25"/>
      <c r="C14" s="25"/>
      <c r="D14" s="25"/>
      <c r="E14" s="25"/>
      <c r="F14" s="25"/>
      <c r="G14" s="25"/>
      <c r="H14" s="25"/>
      <c r="I14" s="35"/>
      <c r="J14" s="35"/>
      <c r="K14" s="35"/>
    </row>
    <row r="15" spans="1:12" ht="14.25" customHeight="1" x14ac:dyDescent="0.3">
      <c r="A15" s="25"/>
      <c r="B15" s="25"/>
      <c r="C15" s="25"/>
      <c r="D15" s="25"/>
      <c r="E15" s="25"/>
      <c r="F15" s="25"/>
      <c r="G15" s="25"/>
      <c r="H15" s="25"/>
      <c r="I15" s="25"/>
      <c r="J15" s="25"/>
      <c r="K15" s="25"/>
    </row>
    <row r="16" spans="1:12" ht="14.25" customHeight="1" x14ac:dyDescent="0.3">
      <c r="A16" s="24" t="s">
        <v>58</v>
      </c>
      <c r="B16" s="25"/>
      <c r="C16" s="25"/>
      <c r="D16" s="25"/>
      <c r="E16" s="25"/>
      <c r="F16" s="25"/>
      <c r="G16" s="25"/>
      <c r="H16" s="25"/>
      <c r="I16" s="122" t="s">
        <v>55</v>
      </c>
      <c r="J16" s="123"/>
      <c r="K16" s="123"/>
    </row>
    <row r="17" spans="1:11" ht="14.25" customHeight="1" x14ac:dyDescent="0.3">
      <c r="A17" s="25" t="s">
        <v>5</v>
      </c>
      <c r="B17" s="26">
        <v>3963707</v>
      </c>
      <c r="C17" s="26">
        <v>5543067</v>
      </c>
      <c r="D17" s="26">
        <v>7772252</v>
      </c>
      <c r="E17" s="26">
        <f>E19*E18</f>
        <v>9981422.5905182417</v>
      </c>
      <c r="F17" s="26">
        <f t="shared" ref="F17:H17" si="13">F19*F18</f>
        <v>12088960.093988623</v>
      </c>
      <c r="G17" s="26">
        <f t="shared" si="13"/>
        <v>13432599.712150544</v>
      </c>
      <c r="H17" s="26">
        <f t="shared" si="13"/>
        <v>14656927.511689028</v>
      </c>
      <c r="I17" s="32">
        <v>2018</v>
      </c>
      <c r="J17" s="32">
        <v>2019</v>
      </c>
      <c r="K17" s="32">
        <v>2020</v>
      </c>
    </row>
    <row r="18" spans="1:11" ht="14.25" customHeight="1" x14ac:dyDescent="0.3">
      <c r="A18" s="25" t="s">
        <v>56</v>
      </c>
      <c r="B18" s="33">
        <f t="shared" ref="B18:D18" si="14">I18*12</f>
        <v>125.39999999999999</v>
      </c>
      <c r="C18" s="33">
        <f t="shared" si="14"/>
        <v>123.96000000000001</v>
      </c>
      <c r="D18" s="33">
        <f t="shared" si="14"/>
        <v>128.64000000000001</v>
      </c>
      <c r="E18" s="36">
        <f>AVERAGE(B18:D18)</f>
        <v>126</v>
      </c>
      <c r="F18" s="36">
        <f t="shared" ref="F18:H18" si="15">AVERAGE(E18)</f>
        <v>126</v>
      </c>
      <c r="G18" s="36">
        <f t="shared" si="15"/>
        <v>126</v>
      </c>
      <c r="H18" s="36">
        <f t="shared" si="15"/>
        <v>126</v>
      </c>
      <c r="I18" s="34">
        <v>10.45</v>
      </c>
      <c r="J18" s="34">
        <v>10.33</v>
      </c>
      <c r="K18" s="34">
        <v>10.72</v>
      </c>
    </row>
    <row r="19" spans="1:11" ht="14.25" customHeight="1" x14ac:dyDescent="0.3">
      <c r="A19" s="25" t="s">
        <v>145</v>
      </c>
      <c r="B19" s="26">
        <f t="shared" ref="B19:D19" si="16">B17/B18</f>
        <v>31608.508771929828</v>
      </c>
      <c r="C19" s="26">
        <f t="shared" si="16"/>
        <v>44716.577928363986</v>
      </c>
      <c r="D19" s="26">
        <f t="shared" si="16"/>
        <v>60418.62562189054</v>
      </c>
      <c r="E19" s="26">
        <f t="shared" ref="E19:H19" si="17">D19*(1+E20)</f>
        <v>79217.639607287638</v>
      </c>
      <c r="F19" s="26">
        <f t="shared" si="17"/>
        <v>95944.127730068445</v>
      </c>
      <c r="G19" s="26">
        <f t="shared" si="17"/>
        <v>106607.93422341702</v>
      </c>
      <c r="H19" s="26">
        <f t="shared" si="17"/>
        <v>116324.8215213415</v>
      </c>
      <c r="I19" s="25"/>
      <c r="J19" s="25"/>
      <c r="K19" s="25"/>
    </row>
    <row r="20" spans="1:11" ht="14.25" customHeight="1" x14ac:dyDescent="0.3">
      <c r="A20" s="28" t="s">
        <v>52</v>
      </c>
      <c r="B20" s="25"/>
      <c r="C20" s="29">
        <f t="shared" ref="C20:D20" si="18">C19/B19-1</f>
        <v>0.41470065073347828</v>
      </c>
      <c r="D20" s="29">
        <f t="shared" si="18"/>
        <v>0.35114600492643366</v>
      </c>
      <c r="E20" s="37">
        <f>D20-4%</f>
        <v>0.31114600492643368</v>
      </c>
      <c r="F20" s="37">
        <f>E20-10%</f>
        <v>0.21114600492643368</v>
      </c>
      <c r="G20" s="37">
        <f>F20-10%</f>
        <v>0.11114600492643367</v>
      </c>
      <c r="H20" s="37">
        <f>G20-2%</f>
        <v>9.1146004926433669E-2</v>
      </c>
      <c r="I20" s="25"/>
      <c r="J20" s="25"/>
      <c r="K20" s="25"/>
    </row>
    <row r="21" spans="1:11" ht="14.25" customHeight="1" x14ac:dyDescent="0.3">
      <c r="A21" s="25"/>
      <c r="B21" s="25"/>
      <c r="C21" s="25"/>
      <c r="D21" s="25"/>
      <c r="E21" s="25"/>
      <c r="F21" s="25"/>
      <c r="G21" s="25"/>
      <c r="H21" s="25"/>
      <c r="I21" s="25"/>
      <c r="J21" s="25"/>
      <c r="K21" s="25"/>
    </row>
    <row r="22" spans="1:11" ht="14.25" customHeight="1" x14ac:dyDescent="0.3">
      <c r="A22" s="25"/>
      <c r="B22" s="25"/>
      <c r="C22" s="25"/>
      <c r="D22" s="25"/>
      <c r="E22" s="25"/>
      <c r="F22" s="25"/>
      <c r="G22" s="25"/>
      <c r="H22" s="25"/>
      <c r="I22" s="38"/>
      <c r="J22" s="39"/>
      <c r="K22" s="39"/>
    </row>
    <row r="23" spans="1:11" ht="14.25" customHeight="1" x14ac:dyDescent="0.3">
      <c r="A23" s="24" t="s">
        <v>59</v>
      </c>
      <c r="B23" s="25"/>
      <c r="C23" s="25"/>
      <c r="D23" s="25"/>
      <c r="E23" s="25"/>
      <c r="F23" s="25"/>
      <c r="G23" s="25"/>
      <c r="H23" s="25"/>
      <c r="I23" s="122" t="s">
        <v>55</v>
      </c>
      <c r="J23" s="123"/>
      <c r="K23" s="123"/>
    </row>
    <row r="24" spans="1:11" ht="14.25" customHeight="1" x14ac:dyDescent="0.3">
      <c r="A24" s="25" t="s">
        <v>5</v>
      </c>
      <c r="B24" s="27">
        <v>2237697</v>
      </c>
      <c r="C24" s="26">
        <v>2795434</v>
      </c>
      <c r="D24" s="26">
        <v>3156727</v>
      </c>
      <c r="E24" s="26">
        <f t="shared" ref="E24:H24" si="19">E26*E25</f>
        <v>3842573.7972810525</v>
      </c>
      <c r="F24" s="26">
        <f t="shared" si="19"/>
        <v>4429558.4850562159</v>
      </c>
      <c r="G24" s="26">
        <f t="shared" si="19"/>
        <v>4995470.9397932496</v>
      </c>
      <c r="H24" s="26">
        <f t="shared" si="19"/>
        <v>5508796.582195675</v>
      </c>
      <c r="I24" s="32">
        <v>2018</v>
      </c>
      <c r="J24" s="32">
        <v>2019</v>
      </c>
      <c r="K24" s="32">
        <v>2020</v>
      </c>
    </row>
    <row r="25" spans="1:11" ht="14.25" customHeight="1" x14ac:dyDescent="0.3">
      <c r="A25" s="25" t="s">
        <v>56</v>
      </c>
      <c r="B25" s="33">
        <f t="shared" ref="B25:D25" si="20">I25*12</f>
        <v>111.96000000000001</v>
      </c>
      <c r="C25" s="33">
        <f t="shared" si="20"/>
        <v>110.88</v>
      </c>
      <c r="D25" s="33">
        <f t="shared" si="20"/>
        <v>109.44</v>
      </c>
      <c r="E25" s="36">
        <f>AVERAGE($B$25:$D$25)</f>
        <v>110.75999999999999</v>
      </c>
      <c r="F25" s="36">
        <f t="shared" ref="F25:H25" si="21">AVERAGE($B$25:$D$25)</f>
        <v>110.75999999999999</v>
      </c>
      <c r="G25" s="36">
        <f t="shared" si="21"/>
        <v>110.75999999999999</v>
      </c>
      <c r="H25" s="36">
        <f t="shared" si="21"/>
        <v>110.75999999999999</v>
      </c>
      <c r="I25" s="34">
        <v>9.33</v>
      </c>
      <c r="J25" s="34">
        <v>9.24</v>
      </c>
      <c r="K25" s="34">
        <v>9.1199999999999992</v>
      </c>
    </row>
    <row r="26" spans="1:11" ht="14.25" customHeight="1" x14ac:dyDescent="0.3">
      <c r="A26" s="25" t="s">
        <v>57</v>
      </c>
      <c r="B26" s="26">
        <f t="shared" ref="B26:D26" si="22">B24/B25</f>
        <v>19986.575562700964</v>
      </c>
      <c r="C26" s="26">
        <f t="shared" si="22"/>
        <v>25211.345598845601</v>
      </c>
      <c r="D26" s="26">
        <f t="shared" si="22"/>
        <v>28844.362207602338</v>
      </c>
      <c r="E26" s="26">
        <f t="shared" ref="E26:H26" si="23">D26*(1+E27)</f>
        <v>34692.793402681949</v>
      </c>
      <c r="F26" s="26">
        <f t="shared" si="23"/>
        <v>39992.40235695392</v>
      </c>
      <c r="G26" s="26">
        <f t="shared" si="23"/>
        <v>45101.760019801826</v>
      </c>
      <c r="H26" s="26">
        <f t="shared" si="23"/>
        <v>49736.336061716102</v>
      </c>
      <c r="I26" s="25"/>
      <c r="J26" s="25"/>
      <c r="K26" s="25"/>
    </row>
    <row r="27" spans="1:11" ht="14.25" customHeight="1" x14ac:dyDescent="0.3">
      <c r="A27" s="28" t="s">
        <v>52</v>
      </c>
      <c r="B27" s="25"/>
      <c r="C27" s="29">
        <f t="shared" ref="C27:D27" si="24">C26/B26-1</f>
        <v>0.26141396857874577</v>
      </c>
      <c r="D27" s="29">
        <f t="shared" si="24"/>
        <v>0.14410244762671809</v>
      </c>
      <c r="E27" s="40">
        <f>AVERAGE(C27:D27)</f>
        <v>0.20275820810273193</v>
      </c>
      <c r="F27" s="40">
        <f>E27-5%</f>
        <v>0.15275820810273194</v>
      </c>
      <c r="G27" s="40">
        <f>F27-2.5%</f>
        <v>0.12775820810273195</v>
      </c>
      <c r="H27" s="40">
        <f>G27-2.5%</f>
        <v>0.10275820810273195</v>
      </c>
      <c r="I27" s="25"/>
      <c r="J27" s="25"/>
      <c r="K27" s="25"/>
    </row>
    <row r="28" spans="1:11" ht="14.25" customHeight="1" x14ac:dyDescent="0.3">
      <c r="A28" s="25"/>
      <c r="B28" s="25"/>
      <c r="C28" s="25"/>
      <c r="D28" s="25"/>
      <c r="E28" s="25"/>
      <c r="F28" s="25"/>
      <c r="G28" s="25"/>
      <c r="H28" s="25"/>
      <c r="I28" s="25"/>
      <c r="J28" s="25"/>
      <c r="K28" s="25"/>
    </row>
    <row r="29" spans="1:11" ht="14.25" customHeight="1" x14ac:dyDescent="0.3">
      <c r="A29" s="25"/>
      <c r="B29" s="25"/>
      <c r="C29" s="25"/>
      <c r="D29" s="25"/>
      <c r="E29" s="25"/>
      <c r="F29" s="25"/>
      <c r="G29" s="25"/>
      <c r="H29" s="25"/>
      <c r="I29" s="25"/>
      <c r="J29" s="25"/>
      <c r="K29" s="25"/>
    </row>
    <row r="30" spans="1:11" ht="14.25" customHeight="1" x14ac:dyDescent="0.3">
      <c r="A30" s="24" t="s">
        <v>60</v>
      </c>
      <c r="B30" s="25"/>
      <c r="C30" s="25"/>
      <c r="D30" s="25"/>
      <c r="E30" s="25"/>
      <c r="F30" s="25"/>
      <c r="G30" s="25"/>
      <c r="H30" s="25"/>
      <c r="I30" s="122" t="s">
        <v>55</v>
      </c>
      <c r="J30" s="123"/>
      <c r="K30" s="123"/>
    </row>
    <row r="31" spans="1:11" ht="14.25" customHeight="1" x14ac:dyDescent="0.3">
      <c r="A31" s="25" t="s">
        <v>5</v>
      </c>
      <c r="B31" s="27">
        <v>945816</v>
      </c>
      <c r="C31" s="26">
        <v>1469521</v>
      </c>
      <c r="D31" s="26">
        <v>2372300</v>
      </c>
      <c r="E31" s="26">
        <f>E33*E32</f>
        <v>3192485.3374921991</v>
      </c>
      <c r="F31" s="26">
        <f t="shared" ref="F31:H31" si="25">F33*F32</f>
        <v>4633674.0539286928</v>
      </c>
      <c r="G31" s="26">
        <f t="shared" si="25"/>
        <v>6493777.1744138356</v>
      </c>
      <c r="H31" s="26">
        <f t="shared" si="25"/>
        <v>8451206.7216355838</v>
      </c>
      <c r="I31" s="32">
        <v>2018</v>
      </c>
      <c r="J31" s="32">
        <v>2019</v>
      </c>
      <c r="K31" s="32">
        <v>2020</v>
      </c>
    </row>
    <row r="32" spans="1:11" ht="14.25" customHeight="1" x14ac:dyDescent="0.3">
      <c r="A32" s="25" t="s">
        <v>56</v>
      </c>
      <c r="B32" s="33">
        <f t="shared" ref="B32:D32" si="26">I32*12</f>
        <v>133.92000000000002</v>
      </c>
      <c r="C32" s="33">
        <f t="shared" si="26"/>
        <v>150.84</v>
      </c>
      <c r="D32" s="33">
        <f t="shared" si="26"/>
        <v>159.84</v>
      </c>
      <c r="E32" s="36">
        <f>AVERAGE(B32:D32)</f>
        <v>148.20000000000002</v>
      </c>
      <c r="F32" s="36">
        <f t="shared" ref="F32:H32" si="27">E32</f>
        <v>148.20000000000002</v>
      </c>
      <c r="G32" s="36">
        <f t="shared" si="27"/>
        <v>148.20000000000002</v>
      </c>
      <c r="H32" s="36">
        <f t="shared" si="27"/>
        <v>148.20000000000002</v>
      </c>
      <c r="I32" s="34">
        <v>11.16</v>
      </c>
      <c r="J32" s="34">
        <v>12.57</v>
      </c>
      <c r="K32" s="34">
        <v>13.32</v>
      </c>
    </row>
    <row r="33" spans="1:8" ht="14.25" customHeight="1" x14ac:dyDescent="0.3">
      <c r="A33" s="25" t="s">
        <v>57</v>
      </c>
      <c r="B33" s="26">
        <f t="shared" ref="B33:D33" si="28">B31/B32</f>
        <v>7062.5448028673827</v>
      </c>
      <c r="C33" s="26">
        <f t="shared" si="28"/>
        <v>9742.2500662954117</v>
      </c>
      <c r="D33" s="26">
        <f t="shared" si="28"/>
        <v>14841.716716716717</v>
      </c>
      <c r="E33" s="26">
        <f>D33*(1+E34)</f>
        <v>21541.736420325229</v>
      </c>
      <c r="F33" s="26">
        <f t="shared" ref="F33:H33" si="29">E33*(1+F34)</f>
        <v>31266.356639194953</v>
      </c>
      <c r="G33" s="26">
        <f t="shared" si="29"/>
        <v>43817.659746382153</v>
      </c>
      <c r="H33" s="26">
        <f t="shared" si="29"/>
        <v>57025.686380806896</v>
      </c>
    </row>
    <row r="34" spans="1:8" ht="14.25" customHeight="1" x14ac:dyDescent="0.3">
      <c r="A34" s="28" t="s">
        <v>52</v>
      </c>
      <c r="B34" s="25"/>
      <c r="C34" s="29">
        <f t="shared" ref="C34:D34" si="30">C33/B33-1</f>
        <v>0.37942488695293974</v>
      </c>
      <c r="D34" s="29">
        <f t="shared" si="30"/>
        <v>0.52343828332466824</v>
      </c>
      <c r="E34" s="37">
        <f>AVERAGE(C34:D34)</f>
        <v>0.45143158513880399</v>
      </c>
      <c r="F34" s="37">
        <f>E34</f>
        <v>0.45143158513880399</v>
      </c>
      <c r="G34" s="37">
        <f t="shared" ref="G34" si="31">F34-5%</f>
        <v>0.401431585138804</v>
      </c>
      <c r="H34" s="37">
        <f>G34-10%</f>
        <v>0.30143158513880397</v>
      </c>
    </row>
    <row r="35" spans="1:8" ht="14.25" customHeight="1" x14ac:dyDescent="0.3"/>
    <row r="36" spans="1:8" ht="14.25" customHeight="1" x14ac:dyDescent="0.3"/>
    <row r="37" spans="1:8" ht="14.25" customHeight="1" x14ac:dyDescent="0.3"/>
    <row r="38" spans="1:8" ht="14.25" customHeight="1" x14ac:dyDescent="0.3"/>
    <row r="39" spans="1:8" ht="14.25" customHeight="1" x14ac:dyDescent="0.3"/>
    <row r="40" spans="1:8" ht="14.25" customHeight="1" x14ac:dyDescent="0.3"/>
    <row r="41" spans="1:8" ht="14.25" customHeight="1" x14ac:dyDescent="0.3"/>
    <row r="42" spans="1:8" ht="14.25" customHeight="1" x14ac:dyDescent="0.3"/>
    <row r="43" spans="1:8" ht="14.25" customHeight="1" x14ac:dyDescent="0.3"/>
    <row r="44" spans="1:8" ht="14.25" customHeight="1" x14ac:dyDescent="0.3"/>
    <row r="45" spans="1:8" ht="14.25" customHeight="1" x14ac:dyDescent="0.3"/>
    <row r="46" spans="1:8" ht="14.25" customHeight="1" x14ac:dyDescent="0.3"/>
    <row r="47" spans="1:8" ht="14.25" customHeight="1" x14ac:dyDescent="0.3"/>
    <row r="48" spans="1: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4">
    <mergeCell ref="I9:K9"/>
    <mergeCell ref="I16:K16"/>
    <mergeCell ref="I23:K23"/>
    <mergeCell ref="I30:K30"/>
  </mergeCells>
  <pageMargins left="0.7" right="0.7" top="0.75" bottom="0.75" header="0" footer="0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000"/>
  <sheetViews>
    <sheetView workbookViewId="0">
      <pane ySplit="3" topLeftCell="A4" activePane="bottomLeft" state="frozen"/>
      <selection pane="bottomLeft" activeCell="E8" sqref="E8"/>
    </sheetView>
  </sheetViews>
  <sheetFormatPr defaultColWidth="12.6640625" defaultRowHeight="15" customHeight="1" x14ac:dyDescent="0.3"/>
  <cols>
    <col min="1" max="1" width="33.25" customWidth="1"/>
    <col min="2" max="2" width="14" customWidth="1"/>
    <col min="3" max="4" width="15" customWidth="1"/>
    <col min="5" max="8" width="14" customWidth="1"/>
    <col min="9" max="26" width="14.4140625" customWidth="1"/>
  </cols>
  <sheetData>
    <row r="1" spans="1:10" ht="25" x14ac:dyDescent="0.3">
      <c r="A1" s="121" t="s">
        <v>23</v>
      </c>
      <c r="B1" s="120"/>
      <c r="C1" s="120"/>
      <c r="D1" s="120"/>
      <c r="E1" s="120"/>
      <c r="F1" s="120"/>
      <c r="G1" s="120"/>
      <c r="H1" s="120"/>
    </row>
    <row r="2" spans="1:10" ht="14.25" customHeight="1" x14ac:dyDescent="0.3">
      <c r="A2" s="24"/>
    </row>
    <row r="3" spans="1:10" ht="14.25" customHeight="1" x14ac:dyDescent="0.3">
      <c r="A3" s="2" t="s">
        <v>1</v>
      </c>
      <c r="B3" s="3" t="s">
        <v>2</v>
      </c>
      <c r="C3" s="3" t="s">
        <v>3</v>
      </c>
      <c r="D3" s="3" t="s">
        <v>4</v>
      </c>
      <c r="E3" s="41" t="s">
        <v>61</v>
      </c>
      <c r="F3" s="41" t="s">
        <v>62</v>
      </c>
      <c r="G3" s="41" t="s">
        <v>63</v>
      </c>
      <c r="H3" s="41" t="s">
        <v>64</v>
      </c>
    </row>
    <row r="4" spans="1:10" ht="14.25" customHeight="1" x14ac:dyDescent="0.35">
      <c r="A4" s="42" t="s">
        <v>65</v>
      </c>
      <c r="B4" s="43">
        <f>'P&amp;L Input'!B4-Schedules!B6</f>
        <v>9884381</v>
      </c>
      <c r="C4" s="43">
        <f>'P&amp;L Input'!C4-Schedules!C6</f>
        <v>12336634</v>
      </c>
      <c r="D4" s="43">
        <f>'P&amp;L Input'!D4-Schedules!D6</f>
        <v>15160609</v>
      </c>
      <c r="E4" s="43">
        <f>E5*'Revenue Modelling'!E6</f>
        <v>17610348.123559561</v>
      </c>
      <c r="F4" s="43">
        <f>F5*'Revenue Modelling'!F6</f>
        <v>20668052.837347303</v>
      </c>
      <c r="G4" s="43">
        <f>G5*'Revenue Modelling'!G6</f>
        <v>23546403.226269968</v>
      </c>
      <c r="H4" s="43">
        <f>H5*'Revenue Modelling'!H6</f>
        <v>26426738.687686183</v>
      </c>
      <c r="J4" s="95" t="s">
        <v>149</v>
      </c>
    </row>
    <row r="5" spans="1:10" ht="14.25" customHeight="1" x14ac:dyDescent="0.35">
      <c r="A5" s="44" t="s">
        <v>66</v>
      </c>
      <c r="B5" s="45">
        <f>B4/'P&amp;L Input'!B3</f>
        <v>0.6258178799609303</v>
      </c>
      <c r="C5" s="45">
        <f>C4/'P&amp;L Input'!C3</f>
        <v>0.61204407701416819</v>
      </c>
      <c r="D5" s="45">
        <f>D4/'P&amp;L Input'!D3</f>
        <v>0.60652004460223641</v>
      </c>
      <c r="E5" s="46">
        <f>AVERAGE($B$5:$D$5)</f>
        <v>0.61479400052577826</v>
      </c>
      <c r="F5" s="46">
        <f t="shared" ref="F5:H5" si="0">AVERAGE($B$5:$D$5)</f>
        <v>0.61479400052577826</v>
      </c>
      <c r="G5" s="46">
        <f t="shared" si="0"/>
        <v>0.61479400052577826</v>
      </c>
      <c r="H5" s="46">
        <f t="shared" si="0"/>
        <v>0.61479400052577826</v>
      </c>
    </row>
    <row r="6" spans="1:10" ht="14.25" customHeight="1" x14ac:dyDescent="0.3"/>
    <row r="7" spans="1:10" ht="14.25" customHeight="1" x14ac:dyDescent="0.35">
      <c r="A7" s="42" t="s">
        <v>7</v>
      </c>
      <c r="B7" s="43">
        <f>'P&amp;L Input'!B5</f>
        <v>2369469</v>
      </c>
      <c r="C7" s="43">
        <f>'P&amp;L Input'!C5</f>
        <v>2652462</v>
      </c>
      <c r="D7" s="43">
        <f>'P&amp;L Input'!D5</f>
        <v>2228362</v>
      </c>
      <c r="E7" s="43">
        <f>E8*'Revenue Modelling'!E6</f>
        <v>3540077.3062013234</v>
      </c>
      <c r="F7" s="43">
        <f>F8*'Revenue Modelling'!F6</f>
        <v>4154744.9431155245</v>
      </c>
      <c r="G7" s="43">
        <f>G8*'Revenue Modelling'!G6</f>
        <v>4733358.3140510488</v>
      </c>
      <c r="H7" s="43">
        <f>H8*'Revenue Modelling'!H6</f>
        <v>5312370.7293459615</v>
      </c>
    </row>
    <row r="8" spans="1:10" ht="14.25" customHeight="1" x14ac:dyDescent="0.35">
      <c r="A8" s="44" t="s">
        <v>66</v>
      </c>
      <c r="B8" s="45">
        <f>B7/'P&amp;L Input'!B3</f>
        <v>0.15002012429641731</v>
      </c>
      <c r="C8" s="45">
        <f>C7/'P&amp;L Input'!C3</f>
        <v>0.13159372780331771</v>
      </c>
      <c r="D8" s="45">
        <f>D7/'P&amp;L Input'!D3</f>
        <v>8.9148544074313163E-2</v>
      </c>
      <c r="E8" s="46">
        <f>AVERAGE($B$8:$D$8)</f>
        <v>0.12358746539134939</v>
      </c>
      <c r="F8" s="46">
        <f t="shared" ref="F8:H8" si="1">AVERAGE($B$8:$D$8)</f>
        <v>0.12358746539134939</v>
      </c>
      <c r="G8" s="46">
        <f t="shared" si="1"/>
        <v>0.12358746539134939</v>
      </c>
      <c r="H8" s="46">
        <f t="shared" si="1"/>
        <v>0.12358746539134939</v>
      </c>
      <c r="J8" s="96" t="s">
        <v>150</v>
      </c>
    </row>
    <row r="9" spans="1:10" ht="14.25" customHeight="1" x14ac:dyDescent="0.3"/>
    <row r="10" spans="1:10" ht="14.25" customHeight="1" x14ac:dyDescent="0.35">
      <c r="A10" s="42" t="s">
        <v>67</v>
      </c>
      <c r="B10" s="43">
        <f>'P&amp;L Input'!B6</f>
        <v>1221814</v>
      </c>
      <c r="C10" s="43">
        <f>'P&amp;L Input'!C6</f>
        <v>1545149</v>
      </c>
      <c r="D10" s="43">
        <f>'P&amp;L Input'!D6</f>
        <v>1829600</v>
      </c>
      <c r="E10" s="43">
        <f>E11*'Revenue Modelling'!E6</f>
        <v>2169434.4552735938</v>
      </c>
      <c r="F10" s="43">
        <f>F11*'Revenue Modelling'!F6</f>
        <v>2546115.819753218</v>
      </c>
      <c r="G10" s="43">
        <f>G11*'Revenue Modelling'!G6</f>
        <v>2900702.3653607448</v>
      </c>
      <c r="H10" s="43">
        <f>H11*'Revenue Modelling'!H6</f>
        <v>3255533.4538150975</v>
      </c>
    </row>
    <row r="11" spans="1:10" ht="14.25" customHeight="1" x14ac:dyDescent="0.35">
      <c r="A11" s="44" t="s">
        <v>66</v>
      </c>
      <c r="B11" s="45">
        <f>B10/'P&amp;L Input'!B3</f>
        <v>7.7357706788779595E-2</v>
      </c>
      <c r="C11" s="45">
        <f>C10/'P&amp;L Input'!C3</f>
        <v>7.6657805812701013E-2</v>
      </c>
      <c r="D11" s="45">
        <f>D10/'P&amp;L Input'!D3</f>
        <v>7.3195547329546709E-2</v>
      </c>
      <c r="E11" s="46">
        <f>AVERAGE($B$11:$D$11)</f>
        <v>7.5737019977009101E-2</v>
      </c>
      <c r="F11" s="46">
        <f t="shared" ref="F11:H11" si="2">AVERAGE($B$11:$D$11)</f>
        <v>7.5737019977009101E-2</v>
      </c>
      <c r="G11" s="46">
        <f t="shared" si="2"/>
        <v>7.5737019977009101E-2</v>
      </c>
      <c r="H11" s="46">
        <f t="shared" si="2"/>
        <v>7.5737019977009101E-2</v>
      </c>
    </row>
    <row r="12" spans="1:10" ht="14.25" customHeight="1" x14ac:dyDescent="0.3"/>
    <row r="13" spans="1:10" ht="14.25" customHeight="1" x14ac:dyDescent="0.35">
      <c r="A13" s="42" t="s">
        <v>68</v>
      </c>
      <c r="B13" s="43">
        <f>'P&amp;L Input'!B7</f>
        <v>630294</v>
      </c>
      <c r="C13" s="43">
        <f>'P&amp;L Input'!C7</f>
        <v>914369</v>
      </c>
      <c r="D13" s="43">
        <f>'P&amp;L Input'!D7</f>
        <v>1076486</v>
      </c>
      <c r="E13" s="43">
        <f>E14*'Revenue Modelling'!E6</f>
        <v>1225366.7194431941</v>
      </c>
      <c r="F13" s="43">
        <f>F14*'Revenue Modelling'!F6</f>
        <v>1438128.5324335631</v>
      </c>
      <c r="G13" s="43">
        <f>G14*'Revenue Modelling'!G6</f>
        <v>1638410.4773863521</v>
      </c>
      <c r="H13" s="43">
        <f>H14*'Revenue Modelling'!H6</f>
        <v>1838830.5480452438</v>
      </c>
    </row>
    <row r="14" spans="1:10" ht="14.25" customHeight="1" x14ac:dyDescent="0.35">
      <c r="A14" s="44" t="s">
        <v>66</v>
      </c>
      <c r="B14" s="45">
        <f>B13/'P&amp;L Input'!B3</f>
        <v>3.9906318345285824E-2</v>
      </c>
      <c r="C14" s="45">
        <f>C13/'P&amp;L Input'!C3</f>
        <v>4.5363600043202057E-2</v>
      </c>
      <c r="D14" s="45">
        <f>D13/'P&amp;L Input'!D3</f>
        <v>4.3066234129096208E-2</v>
      </c>
      <c r="E14" s="46">
        <f>AVERAGE($B$14:$D$14)</f>
        <v>4.2778717505861368E-2</v>
      </c>
      <c r="F14" s="46">
        <f t="shared" ref="F14:H14" si="3">AVERAGE($B$14:$D$14)</f>
        <v>4.2778717505861368E-2</v>
      </c>
      <c r="G14" s="46">
        <f t="shared" si="3"/>
        <v>4.2778717505861368E-2</v>
      </c>
      <c r="H14" s="46">
        <f t="shared" si="3"/>
        <v>4.2778717505861368E-2</v>
      </c>
    </row>
    <row r="15" spans="1:10" ht="14.25" customHeight="1" x14ac:dyDescent="0.3"/>
    <row r="16" spans="1:10" ht="14.25" customHeight="1" x14ac:dyDescent="0.35">
      <c r="A16" s="42" t="s">
        <v>69</v>
      </c>
      <c r="B16" s="48">
        <f>'Balance Sheet Input'!B7</f>
        <v>5899652</v>
      </c>
      <c r="C16" s="48">
        <f>'Balance Sheet Input'!C7</f>
        <v>1160067</v>
      </c>
      <c r="D16" s="48">
        <f>'Balance Sheet Input'!D7</f>
        <v>1556030</v>
      </c>
      <c r="E16" s="43">
        <f>E17*'Revenue Modelling'!E6</f>
        <v>1783137.351709198</v>
      </c>
      <c r="F16" s="43">
        <f>F17*'Revenue Modelling'!F6</f>
        <v>2092745.512058849</v>
      </c>
      <c r="G16" s="43">
        <f>G17*'Revenue Modelling'!G6</f>
        <v>2384193.1344331233</v>
      </c>
      <c r="H16" s="43">
        <f>H17*'Revenue Modelling'!H6</f>
        <v>2675841.7554977285</v>
      </c>
    </row>
    <row r="17" spans="1:10" ht="14.25" customHeight="1" x14ac:dyDescent="0.35">
      <c r="A17" s="44" t="s">
        <v>66</v>
      </c>
      <c r="B17" s="45">
        <f>B16/'P&amp;L Input'!B3</f>
        <v>0.3735294812236864</v>
      </c>
      <c r="C17" s="45">
        <f>C16/'P&amp;L Input'!C3</f>
        <v>5.7553149123950265E-2</v>
      </c>
      <c r="D17" s="45">
        <f>D16/'P&amp;L Input'!D3</f>
        <v>6.2251020721028949E-2</v>
      </c>
      <c r="E17" s="46">
        <f>$D$17</f>
        <v>6.2251020721028949E-2</v>
      </c>
      <c r="F17" s="46">
        <f t="shared" ref="F17:H17" si="4">$D$17</f>
        <v>6.2251020721028949E-2</v>
      </c>
      <c r="G17" s="46">
        <f t="shared" si="4"/>
        <v>6.2251020721028949E-2</v>
      </c>
      <c r="H17" s="46">
        <f t="shared" si="4"/>
        <v>6.2251020721028949E-2</v>
      </c>
    </row>
    <row r="18" spans="1:10" ht="14.25" customHeight="1" x14ac:dyDescent="0.3"/>
    <row r="19" spans="1:10" ht="14.25" customHeight="1" x14ac:dyDescent="0.35">
      <c r="A19" s="42" t="s">
        <v>70</v>
      </c>
      <c r="B19" s="48">
        <f>'Balance Sheet Input'!B17</f>
        <v>562985</v>
      </c>
      <c r="C19" s="48">
        <f>'Balance Sheet Input'!C17</f>
        <v>674347</v>
      </c>
      <c r="D19" s="48">
        <f>'Balance Sheet Input'!D17</f>
        <v>656183</v>
      </c>
      <c r="E19" s="48">
        <f>(E20*E4)/365</f>
        <v>762212.8545602411</v>
      </c>
      <c r="F19" s="48">
        <f t="shared" ref="F19:H19" si="5">(F20*F4)/365</f>
        <v>894556.73680187028</v>
      </c>
      <c r="G19" s="48">
        <f t="shared" si="5"/>
        <v>1019137.787157726</v>
      </c>
      <c r="H19" s="48">
        <f t="shared" si="5"/>
        <v>1143804.7556204358</v>
      </c>
      <c r="J19" s="96" t="s">
        <v>151</v>
      </c>
    </row>
    <row r="20" spans="1:10" ht="14.25" customHeight="1" x14ac:dyDescent="0.35">
      <c r="A20" s="42" t="s">
        <v>71</v>
      </c>
      <c r="B20" s="47">
        <f>(B19/'Other Items'!B4)*365</f>
        <v>20.789316498423119</v>
      </c>
      <c r="C20" s="47">
        <f>(C19/'Other Items'!C4)*365</f>
        <v>19.951686578364892</v>
      </c>
      <c r="D20" s="47">
        <f>(D19/'Other Items'!D4)*365</f>
        <v>15.797966625219342</v>
      </c>
      <c r="E20" s="49">
        <f>$D$20</f>
        <v>15.797966625219342</v>
      </c>
      <c r="F20" s="49">
        <f t="shared" ref="F20:H20" si="6">$D$20</f>
        <v>15.797966625219342</v>
      </c>
      <c r="G20" s="49">
        <f t="shared" si="6"/>
        <v>15.797966625219342</v>
      </c>
      <c r="H20" s="49">
        <f t="shared" si="6"/>
        <v>15.797966625219342</v>
      </c>
    </row>
    <row r="21" spans="1:10" ht="14.25" customHeight="1" x14ac:dyDescent="0.3"/>
    <row r="22" spans="1:10" ht="14.25" customHeight="1" x14ac:dyDescent="0.35">
      <c r="A22" s="42" t="s">
        <v>72</v>
      </c>
      <c r="B22" s="48">
        <f>'Balance Sheet Input'!B18</f>
        <v>481874</v>
      </c>
      <c r="C22" s="48">
        <f>'Balance Sheet Input'!C18</f>
        <v>843043</v>
      </c>
      <c r="D22" s="48">
        <f>'Balance Sheet Input'!D18</f>
        <v>1102196</v>
      </c>
      <c r="E22" s="43">
        <f>E23*'Revenue Modelling'!E6</f>
        <v>1111676.5673939134</v>
      </c>
      <c r="F22" s="43">
        <f>F23*'Revenue Modelling'!F6</f>
        <v>1304698.2303660517</v>
      </c>
      <c r="G22" s="43">
        <f>G23*'Revenue Modelling'!G6</f>
        <v>1486397.9138512246</v>
      </c>
      <c r="H22" s="43">
        <f>H23*'Revenue Modelling'!H6</f>
        <v>1668222.9076687191</v>
      </c>
    </row>
    <row r="23" spans="1:10" ht="14.25" customHeight="1" x14ac:dyDescent="0.35">
      <c r="A23" s="44" t="s">
        <v>66</v>
      </c>
      <c r="B23" s="45">
        <f>B22/'P&amp;L Input'!B3</f>
        <v>3.0509281773769478E-2</v>
      </c>
      <c r="C23" s="45">
        <f>C22/'P&amp;L Input'!C3</f>
        <v>4.182498036484307E-2</v>
      </c>
      <c r="D23" s="45">
        <f>D22/'P&amp;L Input'!D3</f>
        <v>4.4094796395079287E-2</v>
      </c>
      <c r="E23" s="46">
        <f>AVERAGE($B$23:$D$23)</f>
        <v>3.8809686177897283E-2</v>
      </c>
      <c r="F23" s="46">
        <f t="shared" ref="F23:H23" si="7">AVERAGE($B$23:$D$23)</f>
        <v>3.8809686177897283E-2</v>
      </c>
      <c r="G23" s="46">
        <f t="shared" si="7"/>
        <v>3.8809686177897283E-2</v>
      </c>
      <c r="H23" s="46">
        <f t="shared" si="7"/>
        <v>3.8809686177897283E-2</v>
      </c>
    </row>
    <row r="24" spans="1:10" ht="14.25" customHeight="1" x14ac:dyDescent="0.3"/>
    <row r="25" spans="1:10" ht="14.25" customHeight="1" x14ac:dyDescent="0.35">
      <c r="A25" s="42" t="s">
        <v>73</v>
      </c>
      <c r="B25" s="48">
        <f>'Balance Sheet Input'!B19</f>
        <v>760899</v>
      </c>
      <c r="C25" s="48">
        <f>'Balance Sheet Input'!C19</f>
        <v>924745</v>
      </c>
      <c r="D25" s="48">
        <f>'Balance Sheet Input'!D19</f>
        <v>1117992</v>
      </c>
      <c r="E25" s="43">
        <f>E26*'Revenue Modelling'!E6</f>
        <v>1325090.692034519</v>
      </c>
      <c r="F25" s="43">
        <f>F26*'Revenue Modelling'!F6</f>
        <v>1555167.6914670116</v>
      </c>
      <c r="G25" s="43">
        <f>G26*'Revenue Modelling'!G6</f>
        <v>1771749.1742414942</v>
      </c>
      <c r="H25" s="43">
        <f>H26*'Revenue Modelling'!H6</f>
        <v>1988480.023801106</v>
      </c>
    </row>
    <row r="26" spans="1:10" ht="14.25" customHeight="1" x14ac:dyDescent="0.35">
      <c r="A26" s="44" t="s">
        <v>66</v>
      </c>
      <c r="B26" s="45">
        <f>B25/'P&amp;L Input'!B3</f>
        <v>4.8175419284666579E-2</v>
      </c>
      <c r="C26" s="45">
        <f>C25/'P&amp;L Input'!C3</f>
        <v>4.5878373306565391E-2</v>
      </c>
      <c r="D26" s="45">
        <f>D25/'P&amp;L Input'!D3</f>
        <v>4.472673608988554E-2</v>
      </c>
      <c r="E26" s="46">
        <f>AVERAGE($B$26:$D$26)</f>
        <v>4.6260176227039172E-2</v>
      </c>
      <c r="F26" s="46">
        <f t="shared" ref="F26:H26" si="8">AVERAGE($B$26:$D$26)</f>
        <v>4.6260176227039172E-2</v>
      </c>
      <c r="G26" s="46">
        <f t="shared" si="8"/>
        <v>4.6260176227039172E-2</v>
      </c>
      <c r="H26" s="46">
        <f t="shared" si="8"/>
        <v>4.6260176227039172E-2</v>
      </c>
    </row>
    <row r="27" spans="1:10" ht="14.25" customHeight="1" x14ac:dyDescent="0.3"/>
    <row r="28" spans="1:10" ht="14.25" customHeight="1" x14ac:dyDescent="0.3"/>
    <row r="29" spans="1:10" ht="14.25" customHeight="1" x14ac:dyDescent="0.3"/>
    <row r="30" spans="1:10" ht="14.25" customHeight="1" x14ac:dyDescent="0.3"/>
    <row r="31" spans="1:10" ht="14.25" customHeight="1" x14ac:dyDescent="0.3"/>
    <row r="32" spans="1:10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1">
    <mergeCell ref="A1:H1"/>
  </mergeCell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000"/>
  <sheetViews>
    <sheetView topLeftCell="A8" workbookViewId="0">
      <selection activeCell="I17" sqref="I17"/>
    </sheetView>
  </sheetViews>
  <sheetFormatPr defaultColWidth="12.6640625" defaultRowHeight="15" customHeight="1" x14ac:dyDescent="0.3"/>
  <cols>
    <col min="1" max="1" width="31.25" customWidth="1"/>
    <col min="2" max="2" width="17.25" customWidth="1"/>
    <col min="3" max="4" width="12.75" customWidth="1"/>
    <col min="5" max="8" width="12" customWidth="1"/>
    <col min="9" max="9" width="27.4140625" bestFit="1" customWidth="1"/>
    <col min="10" max="26" width="14.4140625" customWidth="1"/>
  </cols>
  <sheetData>
    <row r="1" spans="1:9" ht="26" x14ac:dyDescent="0.6">
      <c r="A1" s="119" t="s">
        <v>74</v>
      </c>
      <c r="B1" s="120"/>
      <c r="C1" s="120"/>
      <c r="D1" s="120"/>
      <c r="E1" s="120"/>
      <c r="F1" s="120"/>
      <c r="G1" s="120"/>
      <c r="H1" s="120"/>
    </row>
    <row r="2" spans="1:9" ht="14.25" customHeight="1" x14ac:dyDescent="0.3"/>
    <row r="3" spans="1:9" ht="14.25" customHeight="1" x14ac:dyDescent="0.3">
      <c r="A3" s="2" t="s">
        <v>1</v>
      </c>
      <c r="B3" s="3" t="s">
        <v>2</v>
      </c>
      <c r="C3" s="3" t="s">
        <v>3</v>
      </c>
      <c r="D3" s="3" t="s">
        <v>4</v>
      </c>
      <c r="E3" s="41" t="s">
        <v>61</v>
      </c>
      <c r="F3" s="41" t="s">
        <v>62</v>
      </c>
      <c r="G3" s="41" t="s">
        <v>63</v>
      </c>
      <c r="H3" s="41" t="s">
        <v>64</v>
      </c>
    </row>
    <row r="4" spans="1:9" ht="14.25" customHeight="1" x14ac:dyDescent="0.35">
      <c r="A4" s="42" t="s">
        <v>75</v>
      </c>
      <c r="C4" s="48">
        <f t="shared" ref="C4:D4" si="0">B7</f>
        <v>418281</v>
      </c>
      <c r="D4" s="48">
        <f t="shared" si="0"/>
        <v>565221</v>
      </c>
      <c r="E4" s="48">
        <f>D7</f>
        <v>960183</v>
      </c>
      <c r="F4" s="48">
        <f t="shared" ref="F4:H4" si="1">E7</f>
        <v>1284140.1319325478</v>
      </c>
      <c r="G4" s="48">
        <f t="shared" si="1"/>
        <v>1580571.3401268851</v>
      </c>
      <c r="H4" s="48">
        <f t="shared" si="1"/>
        <v>1855677.8705373763</v>
      </c>
      <c r="I4" s="97" t="s">
        <v>152</v>
      </c>
    </row>
    <row r="5" spans="1:9" ht="14.25" customHeight="1" x14ac:dyDescent="0.35">
      <c r="A5" s="42" t="s">
        <v>76</v>
      </c>
      <c r="C5" s="48">
        <f t="shared" ref="C5:D5" si="2">C7+C6-C4</f>
        <v>250519</v>
      </c>
      <c r="D5" s="48">
        <f t="shared" si="2"/>
        <v>510672</v>
      </c>
      <c r="E5" s="50">
        <v>510672</v>
      </c>
      <c r="F5" s="50">
        <v>510672</v>
      </c>
      <c r="G5" s="50">
        <v>510672</v>
      </c>
      <c r="H5" s="50">
        <v>510672</v>
      </c>
      <c r="I5" s="97" t="s">
        <v>153</v>
      </c>
    </row>
    <row r="6" spans="1:9" ht="14.25" customHeight="1" x14ac:dyDescent="0.35">
      <c r="A6" s="42" t="s">
        <v>77</v>
      </c>
      <c r="B6" s="51">
        <v>83157</v>
      </c>
      <c r="C6" s="51">
        <v>103579</v>
      </c>
      <c r="D6" s="51">
        <v>115710</v>
      </c>
      <c r="E6" s="48">
        <f>(E4+E5)/E9</f>
        <v>186714.86806745233</v>
      </c>
      <c r="F6" s="48">
        <f t="shared" ref="F6:H6" si="3">(F4+F5)/F9</f>
        <v>214240.79180566277</v>
      </c>
      <c r="G6" s="48">
        <f t="shared" si="3"/>
        <v>235565.4695895089</v>
      </c>
      <c r="H6" s="48">
        <f t="shared" si="3"/>
        <v>252342.11800147456</v>
      </c>
    </row>
    <row r="7" spans="1:9" ht="14.25" customHeight="1" x14ac:dyDescent="0.35">
      <c r="A7" s="42" t="s">
        <v>78</v>
      </c>
      <c r="B7" s="48">
        <f>'Balance Sheet Input'!B10</f>
        <v>418281</v>
      </c>
      <c r="C7" s="48">
        <f>'Balance Sheet Input'!C10</f>
        <v>565221</v>
      </c>
      <c r="D7" s="48">
        <f>'Balance Sheet Input'!D10</f>
        <v>960183</v>
      </c>
      <c r="E7" s="48">
        <f>E4+E5-E6</f>
        <v>1284140.1319325478</v>
      </c>
      <c r="F7" s="48">
        <f t="shared" ref="F7:H7" si="4">F4+F5-F6</f>
        <v>1580571.3401268851</v>
      </c>
      <c r="G7" s="48">
        <f t="shared" si="4"/>
        <v>1855677.8705373763</v>
      </c>
      <c r="H7" s="48">
        <f t="shared" si="4"/>
        <v>2114007.7525359015</v>
      </c>
    </row>
    <row r="8" spans="1:9" ht="14.25" customHeight="1" x14ac:dyDescent="0.3"/>
    <row r="9" spans="1:9" ht="14.25" customHeight="1" x14ac:dyDescent="0.35">
      <c r="A9" s="44" t="s">
        <v>79</v>
      </c>
      <c r="C9" s="48">
        <f t="shared" ref="C9:D9" si="5">(C4+C5)/C6</f>
        <v>6.4569072881568657</v>
      </c>
      <c r="D9" s="48">
        <f t="shared" si="5"/>
        <v>9.298185117967332</v>
      </c>
      <c r="E9" s="52">
        <f>AVERAGE($C$9:$D$9)</f>
        <v>7.8775462030620993</v>
      </c>
      <c r="F9" s="52">
        <f>E9+0.5</f>
        <v>8.3775462030620993</v>
      </c>
      <c r="G9" s="52">
        <f t="shared" ref="G9:H9" si="6">F9+0.5</f>
        <v>8.8775462030620993</v>
      </c>
      <c r="H9" s="52">
        <f t="shared" si="6"/>
        <v>9.3775462030620993</v>
      </c>
      <c r="I9" s="95" t="s">
        <v>154</v>
      </c>
    </row>
    <row r="10" spans="1:9" ht="14.25" customHeight="1" x14ac:dyDescent="0.3"/>
    <row r="11" spans="1:9" ht="14.25" customHeight="1" x14ac:dyDescent="0.3"/>
    <row r="12" spans="1:9" ht="14.25" customHeight="1" x14ac:dyDescent="0.3">
      <c r="A12" s="42" t="s">
        <v>80</v>
      </c>
    </row>
    <row r="13" spans="1:9" ht="14.25" customHeight="1" x14ac:dyDescent="0.3">
      <c r="A13" s="2" t="s">
        <v>1</v>
      </c>
      <c r="B13" s="3" t="s">
        <v>2</v>
      </c>
      <c r="C13" s="3" t="s">
        <v>3</v>
      </c>
      <c r="D13" s="3" t="s">
        <v>4</v>
      </c>
      <c r="E13" s="41" t="s">
        <v>61</v>
      </c>
      <c r="F13" s="41" t="s">
        <v>62</v>
      </c>
      <c r="G13" s="41" t="s">
        <v>63</v>
      </c>
      <c r="H13" s="41" t="s">
        <v>64</v>
      </c>
    </row>
    <row r="14" spans="1:9" ht="14.25" customHeight="1" x14ac:dyDescent="0.35">
      <c r="A14" s="42" t="s">
        <v>75</v>
      </c>
      <c r="C14" s="48">
        <f t="shared" ref="C14:H14" si="7">B17</f>
        <v>14951141</v>
      </c>
      <c r="D14" s="48">
        <f t="shared" si="7"/>
        <v>24504567</v>
      </c>
      <c r="E14" s="48">
        <f t="shared" si="7"/>
        <v>25383950</v>
      </c>
      <c r="F14" s="48">
        <f t="shared" si="7"/>
        <v>26490394.690509938</v>
      </c>
      <c r="G14" s="48">
        <f t="shared" si="7"/>
        <v>27281059.995118186</v>
      </c>
      <c r="H14" s="48">
        <f t="shared" si="7"/>
        <v>27846069.370890178</v>
      </c>
    </row>
    <row r="15" spans="1:9" ht="14.25" customHeight="1" x14ac:dyDescent="0.35">
      <c r="A15" s="42" t="s">
        <v>81</v>
      </c>
      <c r="C15" s="48">
        <f t="shared" ref="C15:D15" si="8">C17+C16-C14</f>
        <v>18769673</v>
      </c>
      <c r="D15" s="48">
        <f t="shared" si="8"/>
        <v>11686295</v>
      </c>
      <c r="E15" s="50">
        <v>11686295</v>
      </c>
      <c r="F15" s="50">
        <v>11686295</v>
      </c>
      <c r="G15" s="50">
        <v>11686295</v>
      </c>
      <c r="H15" s="50">
        <v>11686295</v>
      </c>
    </row>
    <row r="16" spans="1:9" ht="14.25" customHeight="1" x14ac:dyDescent="0.35">
      <c r="A16" s="42" t="s">
        <v>82</v>
      </c>
      <c r="C16" s="48">
        <v>9216247</v>
      </c>
      <c r="D16" s="48">
        <v>10806912</v>
      </c>
      <c r="E16" s="48">
        <f>(E14+E15)/E19</f>
        <v>10579850.30949006</v>
      </c>
      <c r="F16" s="48">
        <f t="shared" ref="F16:H16" si="9">(F14+F15)/F19</f>
        <v>10895629.69539175</v>
      </c>
      <c r="G16" s="48">
        <f t="shared" si="9"/>
        <v>11121285.624228006</v>
      </c>
      <c r="H16" s="48">
        <f t="shared" si="9"/>
        <v>11282539.33644723</v>
      </c>
    </row>
    <row r="17" spans="1:9" ht="14.25" customHeight="1" x14ac:dyDescent="0.35">
      <c r="A17" s="42" t="s">
        <v>78</v>
      </c>
      <c r="B17" s="48">
        <f>'Balance Sheet Input'!B9</f>
        <v>14951141</v>
      </c>
      <c r="C17" s="48">
        <f>'Balance Sheet Input'!C9</f>
        <v>24504567</v>
      </c>
      <c r="D17" s="48">
        <f>'Balance Sheet Input'!D9</f>
        <v>25383950</v>
      </c>
      <c r="E17" s="48">
        <f>E14+E15-E16</f>
        <v>26490394.690509938</v>
      </c>
      <c r="F17" s="48">
        <f t="shared" ref="F17:H17" si="10">F14+F15-F16</f>
        <v>27281059.995118186</v>
      </c>
      <c r="G17" s="48">
        <f t="shared" si="10"/>
        <v>27846069.370890178</v>
      </c>
      <c r="H17" s="48">
        <f t="shared" si="10"/>
        <v>28249825.034442946</v>
      </c>
    </row>
    <row r="18" spans="1:9" ht="14.25" customHeight="1" x14ac:dyDescent="0.3"/>
    <row r="19" spans="1:9" ht="14.25" customHeight="1" x14ac:dyDescent="0.35">
      <c r="A19" s="44" t="s">
        <v>83</v>
      </c>
      <c r="C19" s="53">
        <f t="shared" ref="C19:D19" si="11">(C14+C15)/C16</f>
        <v>3.6588444298422123</v>
      </c>
      <c r="D19" s="53">
        <f t="shared" si="11"/>
        <v>3.3488624687607338</v>
      </c>
      <c r="E19" s="52">
        <f>AVERAGE($C$19:$D$19)</f>
        <v>3.5038534493014728</v>
      </c>
      <c r="F19" s="52">
        <f t="shared" ref="F19:H19" si="12">AVERAGE($C$19:$D$19)</f>
        <v>3.5038534493014728</v>
      </c>
      <c r="G19" s="52">
        <f t="shared" si="12"/>
        <v>3.5038534493014728</v>
      </c>
      <c r="H19" s="52">
        <f t="shared" si="12"/>
        <v>3.5038534493014728</v>
      </c>
    </row>
    <row r="20" spans="1:9" ht="14.25" customHeight="1" x14ac:dyDescent="0.3"/>
    <row r="21" spans="1:9" ht="14.25" customHeight="1" x14ac:dyDescent="0.3"/>
    <row r="22" spans="1:9" ht="14.25" customHeight="1" x14ac:dyDescent="0.3">
      <c r="A22" s="42" t="s">
        <v>84</v>
      </c>
      <c r="I22" s="98" t="s">
        <v>152</v>
      </c>
    </row>
    <row r="23" spans="1:9" ht="14.25" customHeight="1" x14ac:dyDescent="0.35">
      <c r="A23" s="42" t="s">
        <v>85</v>
      </c>
      <c r="C23" s="48">
        <f t="shared" ref="C23:D23" si="13">B25</f>
        <v>10360058</v>
      </c>
      <c r="D23" s="48">
        <f t="shared" si="13"/>
        <v>14759260</v>
      </c>
      <c r="E23" s="48">
        <f>D25</f>
        <v>15809095</v>
      </c>
      <c r="F23" s="48">
        <f t="shared" ref="F23:H23" si="14">E25</f>
        <v>15309095</v>
      </c>
      <c r="G23" s="48">
        <f t="shared" si="14"/>
        <v>14609095</v>
      </c>
      <c r="H23" s="48">
        <f t="shared" si="14"/>
        <v>14609095</v>
      </c>
      <c r="I23" s="98" t="s">
        <v>156</v>
      </c>
    </row>
    <row r="24" spans="1:9" ht="14.25" customHeight="1" x14ac:dyDescent="0.35">
      <c r="A24" s="42" t="s">
        <v>86</v>
      </c>
      <c r="C24" s="48">
        <f t="shared" ref="C24:D24" si="15">C25-C23</f>
        <v>4399202</v>
      </c>
      <c r="D24" s="48">
        <f t="shared" si="15"/>
        <v>1049835</v>
      </c>
      <c r="E24" s="43">
        <f>-500000</f>
        <v>-500000</v>
      </c>
      <c r="F24" s="43">
        <v>-700000</v>
      </c>
      <c r="G24" s="43">
        <v>0</v>
      </c>
      <c r="H24" s="43">
        <v>-400000</v>
      </c>
      <c r="I24" s="96" t="s">
        <v>155</v>
      </c>
    </row>
    <row r="25" spans="1:9" ht="14.25" customHeight="1" x14ac:dyDescent="0.35">
      <c r="A25" s="42" t="s">
        <v>78</v>
      </c>
      <c r="B25" s="48">
        <f>'Balance Sheet Input'!B23</f>
        <v>10360058</v>
      </c>
      <c r="C25" s="48">
        <f>'Balance Sheet Input'!C23</f>
        <v>14759260</v>
      </c>
      <c r="D25" s="48">
        <f>'Balance Sheet Input'!D23</f>
        <v>15809095</v>
      </c>
      <c r="E25" s="43">
        <f>E23+E24</f>
        <v>15309095</v>
      </c>
      <c r="F25" s="43">
        <f t="shared" ref="F25:H25" si="16">F23+F24</f>
        <v>14609095</v>
      </c>
      <c r="G25" s="43">
        <f t="shared" si="16"/>
        <v>14609095</v>
      </c>
      <c r="H25" s="43">
        <f t="shared" si="16"/>
        <v>14209095</v>
      </c>
    </row>
    <row r="26" spans="1:9" ht="14.25" customHeight="1" x14ac:dyDescent="0.3"/>
    <row r="27" spans="1:9" ht="14.25" customHeight="1" x14ac:dyDescent="0.35">
      <c r="A27" s="42" t="s">
        <v>87</v>
      </c>
      <c r="B27" s="43">
        <f>'P&amp;L Input'!B10</f>
        <v>-420493</v>
      </c>
      <c r="C27" s="43">
        <f>'P&amp;L Input'!C10</f>
        <v>-626023</v>
      </c>
      <c r="D27" s="43">
        <f>'P&amp;L Input'!D10</f>
        <v>-767499</v>
      </c>
      <c r="E27" s="43">
        <f>E25*E28</f>
        <v>-696284.80809230579</v>
      </c>
      <c r="F27" s="43">
        <f t="shared" ref="F27:H27" si="17">F25*F28</f>
        <v>-664447.56587357156</v>
      </c>
      <c r="G27" s="43">
        <f t="shared" si="17"/>
        <v>-664447.56587357156</v>
      </c>
      <c r="H27" s="43">
        <f t="shared" si="17"/>
        <v>-646254.85603429482</v>
      </c>
    </row>
    <row r="28" spans="1:9" ht="14.25" customHeight="1" x14ac:dyDescent="0.35">
      <c r="B28" s="54">
        <f t="shared" ref="B28:D28" si="18">B27/B25</f>
        <v>-4.0587900183570398E-2</v>
      </c>
      <c r="C28" s="54">
        <f t="shared" si="18"/>
        <v>-4.2415608912641962E-2</v>
      </c>
      <c r="D28" s="54">
        <f t="shared" si="18"/>
        <v>-4.8547940283741729E-2</v>
      </c>
      <c r="E28" s="55">
        <f>AVERAGE($C$28:$D$28)</f>
        <v>-4.5481774598191846E-2</v>
      </c>
      <c r="F28" s="55">
        <f t="shared" ref="F28:H28" si="19">AVERAGE($C$28:$D$28)</f>
        <v>-4.5481774598191846E-2</v>
      </c>
      <c r="G28" s="55">
        <f t="shared" si="19"/>
        <v>-4.5481774598191846E-2</v>
      </c>
      <c r="H28" s="55">
        <f t="shared" si="19"/>
        <v>-4.5481774598191846E-2</v>
      </c>
    </row>
    <row r="29" spans="1:9" ht="14.25" customHeight="1" x14ac:dyDescent="0.3"/>
    <row r="30" spans="1:9" ht="14.25" customHeight="1" x14ac:dyDescent="0.3"/>
    <row r="31" spans="1:9" ht="14.25" customHeight="1" x14ac:dyDescent="0.3"/>
    <row r="32" spans="1:9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1">
    <mergeCell ref="A1:H1"/>
  </mergeCells>
  <pageMargins left="0.7" right="0.7" top="0.75" bottom="0.75" header="0" footer="0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1000"/>
  <sheetViews>
    <sheetView workbookViewId="0">
      <pane ySplit="3" topLeftCell="A7" activePane="bottomLeft" state="frozen"/>
      <selection pane="bottomLeft" activeCell="E19" sqref="E19"/>
    </sheetView>
  </sheetViews>
  <sheetFormatPr defaultColWidth="12.6640625" defaultRowHeight="15" customHeight="1" x14ac:dyDescent="0.3"/>
  <cols>
    <col min="1" max="1" width="31.25" customWidth="1"/>
    <col min="2" max="8" width="14" customWidth="1"/>
    <col min="9" max="26" width="14.4140625" customWidth="1"/>
  </cols>
  <sheetData>
    <row r="1" spans="1:8" ht="24.75" customHeight="1" x14ac:dyDescent="0.3">
      <c r="A1" s="124" t="s">
        <v>88</v>
      </c>
      <c r="B1" s="120"/>
      <c r="C1" s="120"/>
      <c r="D1" s="120"/>
      <c r="E1" s="120"/>
      <c r="F1" s="120"/>
      <c r="G1" s="120"/>
      <c r="H1" s="120"/>
    </row>
    <row r="2" spans="1:8" ht="14.25" customHeight="1" x14ac:dyDescent="0.3"/>
    <row r="3" spans="1:8" ht="14.25" customHeight="1" x14ac:dyDescent="0.3">
      <c r="A3" s="2" t="s">
        <v>1</v>
      </c>
      <c r="B3" s="3" t="s">
        <v>2</v>
      </c>
      <c r="C3" s="3" t="s">
        <v>3</v>
      </c>
      <c r="D3" s="3" t="s">
        <v>4</v>
      </c>
      <c r="E3" s="56" t="s">
        <v>61</v>
      </c>
      <c r="F3" s="56" t="s">
        <v>62</v>
      </c>
      <c r="G3" s="56" t="s">
        <v>63</v>
      </c>
      <c r="H3" s="56" t="s">
        <v>64</v>
      </c>
    </row>
    <row r="4" spans="1:8" ht="14.25" customHeight="1" x14ac:dyDescent="0.35">
      <c r="A4" s="25" t="s">
        <v>50</v>
      </c>
      <c r="B4" s="47">
        <f>'Revenue Modelling'!B3</f>
        <v>15428752</v>
      </c>
      <c r="C4" s="47">
        <f>'Revenue Modelling'!C3</f>
        <v>19859230</v>
      </c>
      <c r="D4" s="47">
        <f>'Revenue Modelling'!D3</f>
        <v>24756675</v>
      </c>
      <c r="E4" s="47">
        <f>'Revenue Modelling'!E3</f>
        <v>28450601.211875249</v>
      </c>
      <c r="F4" s="47">
        <f>'Revenue Modelling'!F3</f>
        <v>33461471.562312212</v>
      </c>
      <c r="G4" s="47">
        <f>'Revenue Modelling'!G3</f>
        <v>38173270.285082638</v>
      </c>
      <c r="H4" s="47">
        <f>'Revenue Modelling'!H3</f>
        <v>42882607.805020079</v>
      </c>
    </row>
    <row r="5" spans="1:8" ht="14.25" customHeight="1" x14ac:dyDescent="0.35">
      <c r="A5" s="57" t="s">
        <v>51</v>
      </c>
      <c r="B5" s="58">
        <f>'Revenue Modelling'!B4</f>
        <v>365589</v>
      </c>
      <c r="C5" s="58">
        <f>'Revenue Modelling'!C4</f>
        <v>297217</v>
      </c>
      <c r="D5" s="58">
        <f>'Revenue Modelling'!D4</f>
        <v>239381</v>
      </c>
      <c r="E5" s="58">
        <f>'Revenue Modelling'!E4</f>
        <v>193705.83812687785</v>
      </c>
      <c r="F5" s="58">
        <f>'Revenue Modelling'!F4</f>
        <v>156379.00173325167</v>
      </c>
      <c r="G5" s="58">
        <f>'Revenue Modelling'!G4</f>
        <v>126393.02674674911</v>
      </c>
      <c r="H5" s="58">
        <f>'Revenue Modelling'!H4</f>
        <v>102097.09627329883</v>
      </c>
    </row>
    <row r="6" spans="1:8" ht="14.25" customHeight="1" x14ac:dyDescent="0.35">
      <c r="A6" s="59" t="s">
        <v>53</v>
      </c>
      <c r="B6" s="43">
        <f t="shared" ref="B6:H6" si="0">SUM(B4:B5)</f>
        <v>15794341</v>
      </c>
      <c r="C6" s="43">
        <f t="shared" si="0"/>
        <v>20156447</v>
      </c>
      <c r="D6" s="43">
        <f t="shared" si="0"/>
        <v>24996056</v>
      </c>
      <c r="E6" s="43">
        <f t="shared" si="0"/>
        <v>28644307.050002128</v>
      </c>
      <c r="F6" s="43">
        <f t="shared" si="0"/>
        <v>33617850.564045466</v>
      </c>
      <c r="G6" s="43">
        <f t="shared" si="0"/>
        <v>38299663.311829388</v>
      </c>
      <c r="H6" s="43">
        <f t="shared" si="0"/>
        <v>42984704.901293375</v>
      </c>
    </row>
    <row r="7" spans="1:8" ht="14.25" customHeight="1" x14ac:dyDescent="0.35">
      <c r="A7" s="60" t="s">
        <v>65</v>
      </c>
      <c r="B7" s="61">
        <f>'Other Items'!B4</f>
        <v>9884381</v>
      </c>
      <c r="C7" s="61">
        <f>'Other Items'!C4</f>
        <v>12336634</v>
      </c>
      <c r="D7" s="61">
        <f>'Other Items'!D4</f>
        <v>15160609</v>
      </c>
      <c r="E7" s="61">
        <f>'Other Items'!E4</f>
        <v>17610348.123559561</v>
      </c>
      <c r="F7" s="61">
        <f>'Other Items'!F4</f>
        <v>20668052.837347303</v>
      </c>
      <c r="G7" s="61">
        <f>'Other Items'!G4</f>
        <v>23546403.226269968</v>
      </c>
      <c r="H7" s="61">
        <f>'Other Items'!H4</f>
        <v>26426738.687686183</v>
      </c>
    </row>
    <row r="8" spans="1:8" ht="14.25" customHeight="1" x14ac:dyDescent="0.35">
      <c r="A8" s="59" t="s">
        <v>89</v>
      </c>
      <c r="B8" s="43">
        <f>B6-B7</f>
        <v>5909960</v>
      </c>
      <c r="C8" s="43">
        <f t="shared" ref="C8:H8" si="1">C6-C7</f>
        <v>7819813</v>
      </c>
      <c r="D8" s="43">
        <f t="shared" si="1"/>
        <v>9835447</v>
      </c>
      <c r="E8" s="43">
        <f t="shared" si="1"/>
        <v>11033958.926442567</v>
      </c>
      <c r="F8" s="43">
        <f t="shared" si="1"/>
        <v>12949797.726698164</v>
      </c>
      <c r="G8" s="43">
        <f t="shared" si="1"/>
        <v>14753260.08555942</v>
      </c>
      <c r="H8" s="43">
        <f t="shared" si="1"/>
        <v>16557966.213607192</v>
      </c>
    </row>
    <row r="9" spans="1:8" ht="14.25" customHeight="1" x14ac:dyDescent="0.35">
      <c r="A9" s="42" t="s">
        <v>90</v>
      </c>
      <c r="B9" s="43"/>
      <c r="C9" s="43"/>
      <c r="D9" s="43"/>
      <c r="E9" s="43"/>
      <c r="F9" s="43"/>
      <c r="G9" s="43"/>
      <c r="H9" s="43"/>
    </row>
    <row r="10" spans="1:8" ht="14.25" customHeight="1" x14ac:dyDescent="0.35">
      <c r="A10" s="7" t="s">
        <v>7</v>
      </c>
      <c r="B10" s="43">
        <f>'Other Items'!B7</f>
        <v>2369469</v>
      </c>
      <c r="C10" s="43">
        <f>'Other Items'!C7</f>
        <v>2652462</v>
      </c>
      <c r="D10" s="43">
        <f>'Other Items'!D7</f>
        <v>2228362</v>
      </c>
      <c r="E10" s="43">
        <f>'Other Items'!E7</f>
        <v>3540077.3062013234</v>
      </c>
      <c r="F10" s="43">
        <f>'Other Items'!F7</f>
        <v>4154744.9431155245</v>
      </c>
      <c r="G10" s="43">
        <f>'Other Items'!G7</f>
        <v>4733358.3140510488</v>
      </c>
      <c r="H10" s="43">
        <f>'Other Items'!H7</f>
        <v>5312370.7293459615</v>
      </c>
    </row>
    <row r="11" spans="1:8" ht="14.25" customHeight="1" x14ac:dyDescent="0.35">
      <c r="A11" s="7" t="s">
        <v>8</v>
      </c>
      <c r="B11" s="43">
        <f>'Other Items'!B10</f>
        <v>1221814</v>
      </c>
      <c r="C11" s="43">
        <f>'Other Items'!C10</f>
        <v>1545149</v>
      </c>
      <c r="D11" s="43">
        <f>'Other Items'!D10</f>
        <v>1829600</v>
      </c>
      <c r="E11" s="43">
        <f>'Other Items'!E10</f>
        <v>2169434.4552735938</v>
      </c>
      <c r="F11" s="43">
        <f>'Other Items'!F10</f>
        <v>2546115.819753218</v>
      </c>
      <c r="G11" s="43">
        <f>'Other Items'!G10</f>
        <v>2900702.3653607448</v>
      </c>
      <c r="H11" s="43">
        <f>'Other Items'!H10</f>
        <v>3255533.4538150975</v>
      </c>
    </row>
    <row r="12" spans="1:8" ht="14.25" customHeight="1" x14ac:dyDescent="0.35">
      <c r="A12" s="62" t="s">
        <v>9</v>
      </c>
      <c r="B12" s="61">
        <f>'Other Items'!B13</f>
        <v>630294</v>
      </c>
      <c r="C12" s="61">
        <f>'Other Items'!C13</f>
        <v>914369</v>
      </c>
      <c r="D12" s="61">
        <f>'Other Items'!D13</f>
        <v>1076486</v>
      </c>
      <c r="E12" s="61">
        <f>'Other Items'!E13</f>
        <v>1225366.7194431941</v>
      </c>
      <c r="F12" s="61">
        <f>'Other Items'!F13</f>
        <v>1438128.5324335631</v>
      </c>
      <c r="G12" s="61">
        <f>'Other Items'!G13</f>
        <v>1638410.4773863521</v>
      </c>
      <c r="H12" s="61">
        <f>'Other Items'!H13</f>
        <v>1838830.5480452438</v>
      </c>
    </row>
    <row r="13" spans="1:8" ht="14.25" customHeight="1" x14ac:dyDescent="0.35">
      <c r="A13" s="59" t="s">
        <v>91</v>
      </c>
      <c r="B13" s="43">
        <f t="shared" ref="B13:H13" si="2">B8-SUM(B10:B12)</f>
        <v>1688383</v>
      </c>
      <c r="C13" s="43">
        <f t="shared" si="2"/>
        <v>2707833</v>
      </c>
      <c r="D13" s="43">
        <f t="shared" si="2"/>
        <v>4700999</v>
      </c>
      <c r="E13" s="43">
        <f t="shared" si="2"/>
        <v>4099080.445524456</v>
      </c>
      <c r="F13" s="43">
        <f t="shared" si="2"/>
        <v>4810808.4313958585</v>
      </c>
      <c r="G13" s="43">
        <f t="shared" si="2"/>
        <v>5480788.9287612755</v>
      </c>
      <c r="H13" s="43">
        <f t="shared" si="2"/>
        <v>6151231.4824008886</v>
      </c>
    </row>
    <row r="14" spans="1:8" ht="14.25" customHeight="1" x14ac:dyDescent="0.35">
      <c r="A14" s="62" t="s">
        <v>77</v>
      </c>
      <c r="B14" s="61">
        <f>Schedules!B6</f>
        <v>83157</v>
      </c>
      <c r="C14" s="61">
        <f>Schedules!C6</f>
        <v>103579</v>
      </c>
      <c r="D14" s="61">
        <f>Schedules!D6</f>
        <v>115710</v>
      </c>
      <c r="E14" s="61">
        <f>Schedules!E6</f>
        <v>186714.86806745233</v>
      </c>
      <c r="F14" s="61">
        <f>Schedules!F6</f>
        <v>214240.79180566277</v>
      </c>
      <c r="G14" s="61">
        <f>Schedules!G6</f>
        <v>235565.4695895089</v>
      </c>
      <c r="H14" s="61">
        <f>Schedules!H6</f>
        <v>252342.11800147456</v>
      </c>
    </row>
    <row r="15" spans="1:8" ht="14.25" customHeight="1" x14ac:dyDescent="0.35">
      <c r="A15" s="59" t="s">
        <v>92</v>
      </c>
      <c r="B15" s="43">
        <f t="shared" ref="B15:H15" si="3">B13-B14</f>
        <v>1605226</v>
      </c>
      <c r="C15" s="43">
        <f t="shared" si="3"/>
        <v>2604254</v>
      </c>
      <c r="D15" s="43">
        <f t="shared" si="3"/>
        <v>4585289</v>
      </c>
      <c r="E15" s="43">
        <f t="shared" si="3"/>
        <v>3912365.5774570038</v>
      </c>
      <c r="F15" s="43">
        <f t="shared" si="3"/>
        <v>4596567.6395901954</v>
      </c>
      <c r="G15" s="43">
        <f t="shared" si="3"/>
        <v>5245223.4591717664</v>
      </c>
      <c r="H15" s="43">
        <f t="shared" si="3"/>
        <v>5898889.3643994136</v>
      </c>
    </row>
    <row r="16" spans="1:8" ht="14.25" customHeight="1" x14ac:dyDescent="0.35">
      <c r="A16" s="8" t="s">
        <v>12</v>
      </c>
      <c r="B16" s="43">
        <f>Schedules!B27</f>
        <v>-420493</v>
      </c>
      <c r="C16" s="43">
        <f>Schedules!C27</f>
        <v>-626023</v>
      </c>
      <c r="D16" s="43">
        <f>Schedules!D27</f>
        <v>-767499</v>
      </c>
      <c r="E16" s="43">
        <f>Schedules!E27</f>
        <v>-696284.80809230579</v>
      </c>
      <c r="F16" s="43">
        <f>Schedules!F27</f>
        <v>-664447.56587357156</v>
      </c>
      <c r="G16" s="43">
        <f>Schedules!G27</f>
        <v>-664447.56587357156</v>
      </c>
      <c r="H16" s="43">
        <f>Schedules!H27</f>
        <v>-646254.85603429482</v>
      </c>
    </row>
    <row r="17" spans="1:9" ht="14.25" customHeight="1" x14ac:dyDescent="0.35">
      <c r="A17" s="63" t="s">
        <v>13</v>
      </c>
      <c r="B17" s="61">
        <f>'P&amp;L Input'!B11</f>
        <v>41725</v>
      </c>
      <c r="C17" s="61">
        <f>'P&amp;L Input'!C11</f>
        <v>84000</v>
      </c>
      <c r="D17" s="61">
        <f>'P&amp;L Input'!D11</f>
        <v>-618441</v>
      </c>
      <c r="E17" s="61">
        <v>0</v>
      </c>
      <c r="F17" s="61">
        <v>0</v>
      </c>
      <c r="G17" s="61">
        <v>0</v>
      </c>
      <c r="H17" s="61">
        <v>0</v>
      </c>
      <c r="I17" s="96" t="s">
        <v>157</v>
      </c>
    </row>
    <row r="18" spans="1:9" ht="14.25" customHeight="1" x14ac:dyDescent="0.35">
      <c r="A18" s="59" t="s">
        <v>93</v>
      </c>
      <c r="B18" s="43">
        <f t="shared" ref="B18:H18" si="4">B15+B16+B17</f>
        <v>1226458</v>
      </c>
      <c r="C18" s="43">
        <f t="shared" si="4"/>
        <v>2062231</v>
      </c>
      <c r="D18" s="43">
        <f t="shared" si="4"/>
        <v>3199349</v>
      </c>
      <c r="E18" s="43">
        <f t="shared" si="4"/>
        <v>3216080.7693646979</v>
      </c>
      <c r="F18" s="43">
        <f t="shared" si="4"/>
        <v>3932120.0737166237</v>
      </c>
      <c r="G18" s="43">
        <f t="shared" si="4"/>
        <v>4580775.8932981947</v>
      </c>
      <c r="H18" s="43">
        <f t="shared" si="4"/>
        <v>5252634.5083651189</v>
      </c>
    </row>
    <row r="19" spans="1:9" ht="14.25" customHeight="1" x14ac:dyDescent="0.35">
      <c r="A19" s="42" t="s">
        <v>94</v>
      </c>
      <c r="B19" s="43">
        <f>'P&amp;L Input'!B13</f>
        <v>-15216</v>
      </c>
      <c r="C19" s="43">
        <f>'P&amp;L Input'!C13</f>
        <v>-195315</v>
      </c>
      <c r="D19" s="43">
        <f>'P&amp;L Input'!D13</f>
        <v>-437954</v>
      </c>
      <c r="E19" s="43">
        <f>E20*E18</f>
        <v>-440244.38636308414</v>
      </c>
      <c r="F19" s="43">
        <f t="shared" ref="F19:H19" si="5">F20*F18</f>
        <v>-538261.91352193523</v>
      </c>
      <c r="G19" s="43">
        <f t="shared" si="5"/>
        <v>-627055.41832839034</v>
      </c>
      <c r="H19" s="43">
        <f t="shared" si="5"/>
        <v>-719025.11838393903</v>
      </c>
    </row>
    <row r="20" spans="1:9" ht="14.25" customHeight="1" x14ac:dyDescent="0.35">
      <c r="A20" s="64" t="s">
        <v>95</v>
      </c>
      <c r="B20" s="99">
        <f>B19/B18</f>
        <v>-1.2406458272521358E-2</v>
      </c>
      <c r="C20" s="99">
        <f t="shared" ref="C20:D20" si="6">C19/C18</f>
        <v>-9.471053436787634E-2</v>
      </c>
      <c r="D20" s="99">
        <f t="shared" si="6"/>
        <v>-0.13688847324877654</v>
      </c>
      <c r="E20" s="65">
        <f>$D$20</f>
        <v>-0.13688847324877654</v>
      </c>
      <c r="F20" s="65">
        <f t="shared" ref="F20:H20" si="7">$D$20</f>
        <v>-0.13688847324877654</v>
      </c>
      <c r="G20" s="65">
        <f t="shared" si="7"/>
        <v>-0.13688847324877654</v>
      </c>
      <c r="H20" s="65">
        <f t="shared" si="7"/>
        <v>-0.13688847324877654</v>
      </c>
      <c r="I20" s="96" t="s">
        <v>158</v>
      </c>
    </row>
    <row r="21" spans="1:9" ht="14.25" customHeight="1" x14ac:dyDescent="0.35">
      <c r="A21" s="103" t="s">
        <v>96</v>
      </c>
      <c r="B21" s="104">
        <f>B18+B19</f>
        <v>1211242</v>
      </c>
      <c r="C21" s="104">
        <f>C18+C19</f>
        <v>1866916</v>
      </c>
      <c r="D21" s="104">
        <f>D18+D19</f>
        <v>2761395</v>
      </c>
      <c r="E21" s="104">
        <f t="shared" ref="E21:H21" si="8">E18+E19</f>
        <v>2775836.3830016139</v>
      </c>
      <c r="F21" s="104">
        <f t="shared" si="8"/>
        <v>3393858.1601946885</v>
      </c>
      <c r="G21" s="104">
        <f t="shared" si="8"/>
        <v>3953720.4749698043</v>
      </c>
      <c r="H21" s="104">
        <f t="shared" si="8"/>
        <v>4533609.3899811795</v>
      </c>
    </row>
    <row r="22" spans="1:9" ht="14.25" customHeight="1" x14ac:dyDescent="0.3"/>
    <row r="23" spans="1:9" ht="14.25" customHeight="1" x14ac:dyDescent="0.3"/>
    <row r="24" spans="1:9" ht="14.25" customHeight="1" x14ac:dyDescent="0.3"/>
    <row r="25" spans="1:9" ht="14.25" customHeight="1" x14ac:dyDescent="0.3"/>
    <row r="26" spans="1:9" ht="14.25" customHeight="1" x14ac:dyDescent="0.3"/>
    <row r="27" spans="1:9" ht="14.25" customHeight="1" x14ac:dyDescent="0.3"/>
    <row r="28" spans="1:9" ht="14.25" customHeight="1" x14ac:dyDescent="0.3"/>
    <row r="29" spans="1:9" ht="14.25" customHeight="1" x14ac:dyDescent="0.3"/>
    <row r="30" spans="1:9" ht="14.25" customHeight="1" x14ac:dyDescent="0.3"/>
    <row r="31" spans="1:9" ht="14.25" customHeight="1" x14ac:dyDescent="0.3"/>
    <row r="32" spans="1:9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1">
    <mergeCell ref="A1:H1"/>
  </mergeCell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000"/>
  <sheetViews>
    <sheetView workbookViewId="0">
      <pane ySplit="3" topLeftCell="A33" activePane="bottomLeft" state="frozen"/>
      <selection pane="bottomLeft" activeCell="J22" sqref="J22"/>
    </sheetView>
  </sheetViews>
  <sheetFormatPr defaultColWidth="12.6640625" defaultRowHeight="15" customHeight="1" x14ac:dyDescent="0.3"/>
  <cols>
    <col min="1" max="1" width="42.75" customWidth="1"/>
    <col min="2" max="4" width="12.25" customWidth="1"/>
    <col min="5" max="8" width="12.4140625" customWidth="1"/>
    <col min="9" max="26" width="14.4140625" customWidth="1"/>
  </cols>
  <sheetData>
    <row r="1" spans="1:8" ht="25" x14ac:dyDescent="0.3">
      <c r="A1" s="121" t="s">
        <v>17</v>
      </c>
      <c r="B1" s="120"/>
      <c r="C1" s="120"/>
      <c r="D1" s="120"/>
      <c r="E1" s="120"/>
      <c r="F1" s="120"/>
      <c r="G1" s="120"/>
      <c r="H1" s="120"/>
    </row>
    <row r="2" spans="1:8" ht="14.25" customHeight="1" x14ac:dyDescent="0.3">
      <c r="A2" s="1"/>
      <c r="B2" s="1"/>
      <c r="C2" s="1"/>
      <c r="D2" s="1"/>
    </row>
    <row r="3" spans="1:8" ht="14.25" customHeight="1" x14ac:dyDescent="0.3">
      <c r="A3" s="2" t="s">
        <v>1</v>
      </c>
      <c r="B3" s="3" t="s">
        <v>2</v>
      </c>
      <c r="C3" s="3" t="s">
        <v>3</v>
      </c>
      <c r="D3" s="3" t="s">
        <v>4</v>
      </c>
      <c r="E3" s="56" t="s">
        <v>61</v>
      </c>
      <c r="F3" s="56" t="s">
        <v>62</v>
      </c>
      <c r="G3" s="56" t="s">
        <v>63</v>
      </c>
      <c r="H3" s="56" t="s">
        <v>64</v>
      </c>
    </row>
    <row r="4" spans="1:8" ht="14.25" customHeight="1" x14ac:dyDescent="0.3">
      <c r="A4" s="10" t="s">
        <v>18</v>
      </c>
      <c r="B4" s="1"/>
      <c r="C4" s="1"/>
      <c r="D4" s="1"/>
    </row>
    <row r="5" spans="1:8" ht="14.25" customHeight="1" x14ac:dyDescent="0.3">
      <c r="A5" s="11" t="s">
        <v>19</v>
      </c>
      <c r="B5" s="11"/>
      <c r="C5" s="10"/>
      <c r="D5" s="10"/>
    </row>
    <row r="6" spans="1:8" ht="14.25" customHeight="1" x14ac:dyDescent="0.3">
      <c r="A6" s="11" t="s">
        <v>20</v>
      </c>
      <c r="B6" s="12">
        <v>3794483</v>
      </c>
      <c r="C6" s="13">
        <v>5018437</v>
      </c>
      <c r="D6" s="13">
        <v>8205550</v>
      </c>
      <c r="E6" s="13">
        <f>D6+'Cashflow Statement'!E25</f>
        <v>9146486.3228386026</v>
      </c>
      <c r="F6" s="13">
        <f>E6+'Cashflow Statement'!F25</f>
        <v>10999082.354527311</v>
      </c>
      <c r="G6" s="13">
        <f>F6+'Cashflow Statement'!G25</f>
        <v>14344101.517555868</v>
      </c>
      <c r="H6" s="13">
        <f>G6+'Cashflow Statement'!H25</f>
        <v>18047199.552760962</v>
      </c>
    </row>
    <row r="7" spans="1:8" ht="14.25" customHeight="1" x14ac:dyDescent="0.3">
      <c r="A7" s="11" t="s">
        <v>22</v>
      </c>
      <c r="B7" s="12">
        <f>748466+5151186</f>
        <v>5899652</v>
      </c>
      <c r="C7" s="14">
        <v>1160067</v>
      </c>
      <c r="D7" s="14">
        <v>1556030</v>
      </c>
      <c r="E7" s="14">
        <f>'Other Items'!E16</f>
        <v>1783137.351709198</v>
      </c>
      <c r="F7" s="14">
        <f>'Other Items'!F16</f>
        <v>2092745.512058849</v>
      </c>
      <c r="G7" s="14">
        <f>'Other Items'!G16</f>
        <v>2384193.1344331233</v>
      </c>
      <c r="H7" s="14">
        <f>'Other Items'!H16</f>
        <v>2675841.7554977285</v>
      </c>
    </row>
    <row r="8" spans="1:8" ht="14.25" customHeight="1" x14ac:dyDescent="0.3">
      <c r="A8" s="11" t="s">
        <v>24</v>
      </c>
      <c r="B8" s="15">
        <f t="shared" ref="B8:H8" si="0">SUM(B6:B7)</f>
        <v>9694135</v>
      </c>
      <c r="C8" s="16">
        <f t="shared" si="0"/>
        <v>6178504</v>
      </c>
      <c r="D8" s="16">
        <f t="shared" si="0"/>
        <v>9761580</v>
      </c>
      <c r="E8" s="16">
        <f t="shared" si="0"/>
        <v>10929623.674547801</v>
      </c>
      <c r="F8" s="16">
        <f t="shared" si="0"/>
        <v>13091827.86658616</v>
      </c>
      <c r="G8" s="16">
        <f t="shared" si="0"/>
        <v>16728294.651988991</v>
      </c>
      <c r="H8" s="16">
        <f t="shared" si="0"/>
        <v>20723041.30825869</v>
      </c>
    </row>
    <row r="9" spans="1:8" ht="14.25" customHeight="1" x14ac:dyDescent="0.3">
      <c r="A9" s="11" t="s">
        <v>25</v>
      </c>
      <c r="B9" s="12">
        <v>14951141</v>
      </c>
      <c r="C9" s="16">
        <v>24504567</v>
      </c>
      <c r="D9" s="16">
        <v>25383950</v>
      </c>
      <c r="E9" s="16">
        <f>Schedules!E17</f>
        <v>26490394.690509938</v>
      </c>
      <c r="F9" s="16">
        <f>Schedules!F17</f>
        <v>27281059.995118186</v>
      </c>
      <c r="G9" s="16">
        <f>Schedules!G17</f>
        <v>27846069.370890178</v>
      </c>
      <c r="H9" s="16">
        <f>Schedules!H17</f>
        <v>28249825.034442946</v>
      </c>
    </row>
    <row r="10" spans="1:8" ht="14.25" customHeight="1" x14ac:dyDescent="0.3">
      <c r="A10" s="11" t="s">
        <v>27</v>
      </c>
      <c r="B10" s="12">
        <v>418281</v>
      </c>
      <c r="C10" s="16">
        <v>565221</v>
      </c>
      <c r="D10" s="16">
        <v>960183</v>
      </c>
      <c r="E10" s="16">
        <f>Schedules!E7</f>
        <v>1284140.1319325478</v>
      </c>
      <c r="F10" s="16">
        <f>Schedules!F7</f>
        <v>1580571.3401268851</v>
      </c>
      <c r="G10" s="16">
        <f>Schedules!G7</f>
        <v>1855677.8705373763</v>
      </c>
      <c r="H10" s="16">
        <f>Schedules!H7</f>
        <v>2114007.7525359015</v>
      </c>
    </row>
    <row r="11" spans="1:8" ht="14.25" customHeight="1" x14ac:dyDescent="0.3">
      <c r="A11" s="11" t="s">
        <v>28</v>
      </c>
      <c r="B11" s="12">
        <v>910843</v>
      </c>
      <c r="C11" s="16">
        <v>2727420</v>
      </c>
      <c r="D11" s="16">
        <v>3174646</v>
      </c>
      <c r="E11" s="16">
        <f>D11</f>
        <v>3174646</v>
      </c>
      <c r="F11" s="16">
        <f t="shared" ref="F11:H11" si="1">E11</f>
        <v>3174646</v>
      </c>
      <c r="G11" s="16">
        <f t="shared" si="1"/>
        <v>3174646</v>
      </c>
      <c r="H11" s="16">
        <f t="shared" si="1"/>
        <v>3174646</v>
      </c>
    </row>
    <row r="12" spans="1:8" ht="14.25" customHeight="1" x14ac:dyDescent="0.3">
      <c r="A12" s="10" t="s">
        <v>29</v>
      </c>
      <c r="B12" s="18">
        <f t="shared" ref="B12:F12" si="2">SUM(B8:B11)</f>
        <v>25974400</v>
      </c>
      <c r="C12" s="18">
        <f t="shared" si="2"/>
        <v>33975712</v>
      </c>
      <c r="D12" s="18">
        <f t="shared" si="2"/>
        <v>39280359</v>
      </c>
      <c r="E12" s="18">
        <f t="shared" si="2"/>
        <v>41878804.496990286</v>
      </c>
      <c r="F12" s="18">
        <f t="shared" si="2"/>
        <v>45128105.201831236</v>
      </c>
      <c r="G12" s="18">
        <f t="shared" ref="G12:H12" si="3">ROUND(SUM(G8:G11),3)</f>
        <v>49604687.892999999</v>
      </c>
      <c r="H12" s="18">
        <f t="shared" si="3"/>
        <v>54261520.094999999</v>
      </c>
    </row>
    <row r="13" spans="1:8" ht="14.25" customHeight="1" x14ac:dyDescent="0.3">
      <c r="A13" s="10"/>
      <c r="B13" s="13"/>
      <c r="C13" s="13"/>
      <c r="D13" s="13"/>
    </row>
    <row r="14" spans="1:8" ht="14.25" customHeight="1" x14ac:dyDescent="0.3">
      <c r="A14" s="10" t="s">
        <v>30</v>
      </c>
      <c r="B14" s="11"/>
      <c r="C14" s="19"/>
      <c r="D14" s="19"/>
    </row>
    <row r="15" spans="1:8" ht="14.25" customHeight="1" x14ac:dyDescent="0.3">
      <c r="A15" s="11" t="s">
        <v>31</v>
      </c>
      <c r="B15" s="11"/>
      <c r="C15" s="16"/>
      <c r="D15" s="16"/>
    </row>
    <row r="16" spans="1:8" ht="14.25" customHeight="1" x14ac:dyDescent="0.3">
      <c r="A16" s="11" t="s">
        <v>32</v>
      </c>
      <c r="B16" s="12">
        <v>4681562</v>
      </c>
      <c r="C16" s="13">
        <v>4413561</v>
      </c>
      <c r="D16" s="13">
        <v>4429536</v>
      </c>
      <c r="E16" s="13">
        <f>D16</f>
        <v>4429536</v>
      </c>
      <c r="F16" s="13">
        <f t="shared" ref="F16:H16" si="4">E16</f>
        <v>4429536</v>
      </c>
      <c r="G16" s="13">
        <f t="shared" si="4"/>
        <v>4429536</v>
      </c>
      <c r="H16" s="13">
        <f t="shared" si="4"/>
        <v>4429536</v>
      </c>
    </row>
    <row r="17" spans="1:8" ht="14.25" customHeight="1" x14ac:dyDescent="0.3">
      <c r="A17" s="11" t="s">
        <v>33</v>
      </c>
      <c r="B17" s="12">
        <v>562985</v>
      </c>
      <c r="C17" s="16">
        <v>674347</v>
      </c>
      <c r="D17" s="16">
        <v>656183</v>
      </c>
      <c r="E17" s="16">
        <f>'Other Items'!E19</f>
        <v>762212.8545602411</v>
      </c>
      <c r="F17" s="16">
        <f>'Other Items'!F19</f>
        <v>894556.73680187028</v>
      </c>
      <c r="G17" s="16">
        <f>'Other Items'!G19</f>
        <v>1019137.787157726</v>
      </c>
      <c r="H17" s="16">
        <f>'Other Items'!H19</f>
        <v>1143804.7556204358</v>
      </c>
    </row>
    <row r="18" spans="1:8" ht="14.25" customHeight="1" x14ac:dyDescent="0.3">
      <c r="A18" s="11" t="s">
        <v>34</v>
      </c>
      <c r="B18" s="12">
        <v>481874</v>
      </c>
      <c r="C18" s="16">
        <v>843043</v>
      </c>
      <c r="D18" s="16">
        <v>1102196</v>
      </c>
      <c r="E18" s="16">
        <f>'Other Items'!E22</f>
        <v>1111676.5673939134</v>
      </c>
      <c r="F18" s="16">
        <f>'Other Items'!F22</f>
        <v>1304698.2303660517</v>
      </c>
      <c r="G18" s="16">
        <f>'Other Items'!G22</f>
        <v>1486397.9138512246</v>
      </c>
      <c r="H18" s="16">
        <f>'Other Items'!H22</f>
        <v>1668222.9076687191</v>
      </c>
    </row>
    <row r="19" spans="1:8" ht="14.25" customHeight="1" x14ac:dyDescent="0.3">
      <c r="A19" s="11" t="s">
        <v>35</v>
      </c>
      <c r="B19" s="12">
        <v>760899</v>
      </c>
      <c r="C19" s="16">
        <v>924745</v>
      </c>
      <c r="D19" s="16">
        <v>1117992</v>
      </c>
      <c r="E19" s="16">
        <f>'Other Items'!E25</f>
        <v>1325090.692034519</v>
      </c>
      <c r="F19" s="16">
        <f>'Other Items'!F25</f>
        <v>1555167.6914670116</v>
      </c>
      <c r="G19" s="16">
        <f>'Other Items'!G25</f>
        <v>1771749.1742414942</v>
      </c>
      <c r="H19" s="16">
        <f>'Other Items'!H25</f>
        <v>1988480.023801106</v>
      </c>
    </row>
    <row r="20" spans="1:8" ht="14.25" customHeight="1" x14ac:dyDescent="0.3">
      <c r="A20" s="11" t="s">
        <v>36</v>
      </c>
      <c r="B20" s="14">
        <v>0</v>
      </c>
      <c r="C20" s="14">
        <v>0</v>
      </c>
      <c r="D20" s="14">
        <v>499878</v>
      </c>
      <c r="E20" s="14">
        <f>D20</f>
        <v>499878</v>
      </c>
      <c r="F20" s="14">
        <f t="shared" ref="F20:H20" si="5">E20</f>
        <v>499878</v>
      </c>
      <c r="G20" s="14">
        <f t="shared" si="5"/>
        <v>499878</v>
      </c>
      <c r="H20" s="14">
        <f t="shared" si="5"/>
        <v>499878</v>
      </c>
    </row>
    <row r="21" spans="1:8" ht="14.25" customHeight="1" x14ac:dyDescent="0.3">
      <c r="A21" s="11" t="s">
        <v>37</v>
      </c>
      <c r="B21" s="15">
        <f t="shared" ref="B21:H21" si="6">SUM(B16:B20)</f>
        <v>6487320</v>
      </c>
      <c r="C21" s="16">
        <f t="shared" si="6"/>
        <v>6855696</v>
      </c>
      <c r="D21" s="16">
        <f t="shared" si="6"/>
        <v>7805785</v>
      </c>
      <c r="E21" s="16">
        <f t="shared" si="6"/>
        <v>8128394.1139886742</v>
      </c>
      <c r="F21" s="16">
        <f t="shared" si="6"/>
        <v>8683836.6586349327</v>
      </c>
      <c r="G21" s="16">
        <f t="shared" si="6"/>
        <v>9206698.8752504438</v>
      </c>
      <c r="H21" s="16">
        <f t="shared" si="6"/>
        <v>9729921.6870902609</v>
      </c>
    </row>
    <row r="22" spans="1:8" ht="14.25" customHeight="1" x14ac:dyDescent="0.3">
      <c r="A22" s="11" t="s">
        <v>38</v>
      </c>
      <c r="B22" s="12">
        <v>3759026</v>
      </c>
      <c r="C22" s="16">
        <v>3334323</v>
      </c>
      <c r="D22" s="16">
        <v>2618084</v>
      </c>
      <c r="E22" s="16">
        <f>D22</f>
        <v>2618084</v>
      </c>
      <c r="F22" s="16">
        <f t="shared" ref="F22:H22" si="7">E22</f>
        <v>2618084</v>
      </c>
      <c r="G22" s="16">
        <f t="shared" si="7"/>
        <v>2618084</v>
      </c>
      <c r="H22" s="16">
        <f t="shared" si="7"/>
        <v>2618084</v>
      </c>
    </row>
    <row r="23" spans="1:8" ht="14.25" customHeight="1" x14ac:dyDescent="0.3">
      <c r="A23" s="11" t="s">
        <v>39</v>
      </c>
      <c r="B23" s="12">
        <v>10360058</v>
      </c>
      <c r="C23" s="16">
        <v>14759260</v>
      </c>
      <c r="D23" s="16">
        <v>15809095</v>
      </c>
      <c r="E23" s="16">
        <f>Schedules!E25</f>
        <v>15309095</v>
      </c>
      <c r="F23" s="16">
        <f>Schedules!F25</f>
        <v>14609095</v>
      </c>
      <c r="G23" s="16">
        <f>Schedules!G25</f>
        <v>14609095</v>
      </c>
      <c r="H23" s="16">
        <f>Schedules!H25</f>
        <v>14209095</v>
      </c>
    </row>
    <row r="24" spans="1:8" ht="14.25" customHeight="1" x14ac:dyDescent="0.3">
      <c r="A24" s="11" t="s">
        <v>40</v>
      </c>
      <c r="B24" s="12">
        <v>129231</v>
      </c>
      <c r="C24" s="14">
        <v>1444276</v>
      </c>
      <c r="D24" s="14">
        <v>1982155</v>
      </c>
      <c r="E24" s="14">
        <f>D24</f>
        <v>1982155</v>
      </c>
      <c r="F24" s="14">
        <f t="shared" ref="F24:H24" si="8">E24</f>
        <v>1982155</v>
      </c>
      <c r="G24" s="14">
        <f t="shared" si="8"/>
        <v>1982155</v>
      </c>
      <c r="H24" s="14">
        <f t="shared" si="8"/>
        <v>1982155</v>
      </c>
    </row>
    <row r="25" spans="1:8" ht="14.25" customHeight="1" x14ac:dyDescent="0.3">
      <c r="A25" s="10" t="s">
        <v>41</v>
      </c>
      <c r="B25" s="15">
        <f t="shared" ref="B25:H25" si="9">SUM(B21:B24)</f>
        <v>20735635</v>
      </c>
      <c r="C25" s="16">
        <f t="shared" si="9"/>
        <v>26393555</v>
      </c>
      <c r="D25" s="16">
        <f t="shared" si="9"/>
        <v>28215119</v>
      </c>
      <c r="E25" s="16">
        <f t="shared" si="9"/>
        <v>28037728.113988675</v>
      </c>
      <c r="F25" s="16">
        <f t="shared" si="9"/>
        <v>27893170.658634931</v>
      </c>
      <c r="G25" s="16">
        <f t="shared" si="9"/>
        <v>28416032.875250444</v>
      </c>
      <c r="H25" s="16">
        <f t="shared" si="9"/>
        <v>28539255.687090263</v>
      </c>
    </row>
    <row r="26" spans="1:8" ht="14.25" customHeight="1" x14ac:dyDescent="0.3">
      <c r="A26" s="11" t="s">
        <v>42</v>
      </c>
      <c r="B26" s="11"/>
      <c r="C26" s="16"/>
      <c r="D26" s="16"/>
      <c r="E26" s="16"/>
      <c r="F26" s="16"/>
      <c r="G26" s="16"/>
      <c r="H26" s="16"/>
    </row>
    <row r="27" spans="1:8" ht="14.25" customHeight="1" x14ac:dyDescent="0.3">
      <c r="A27" s="11" t="s">
        <v>43</v>
      </c>
      <c r="B27" s="16">
        <v>2315988</v>
      </c>
      <c r="C27" s="16">
        <v>2793929</v>
      </c>
      <c r="D27" s="16">
        <v>3447698</v>
      </c>
      <c r="E27" s="16">
        <f>D27</f>
        <v>3447698</v>
      </c>
      <c r="F27" s="16">
        <f t="shared" ref="F27:H27" si="10">E27</f>
        <v>3447698</v>
      </c>
      <c r="G27" s="16">
        <f t="shared" si="10"/>
        <v>3447698</v>
      </c>
      <c r="H27" s="16">
        <f t="shared" si="10"/>
        <v>3447698</v>
      </c>
    </row>
    <row r="28" spans="1:8" ht="14.25" customHeight="1" x14ac:dyDescent="0.3">
      <c r="A28" s="11" t="s">
        <v>44</v>
      </c>
      <c r="B28" s="22"/>
      <c r="C28" s="16">
        <v>0</v>
      </c>
      <c r="D28" s="16">
        <v>0</v>
      </c>
      <c r="E28" s="16">
        <f>D28</f>
        <v>0</v>
      </c>
      <c r="F28" s="16">
        <f t="shared" ref="F28:H28" si="11">E28</f>
        <v>0</v>
      </c>
      <c r="G28" s="16">
        <f t="shared" si="11"/>
        <v>0</v>
      </c>
      <c r="H28" s="16">
        <f t="shared" si="11"/>
        <v>0</v>
      </c>
    </row>
    <row r="29" spans="1:8" ht="14.25" customHeight="1" x14ac:dyDescent="0.3">
      <c r="A29" s="11" t="s">
        <v>45</v>
      </c>
      <c r="B29" s="16">
        <v>-19582</v>
      </c>
      <c r="C29" s="16">
        <v>-23521</v>
      </c>
      <c r="D29" s="16">
        <v>44398</v>
      </c>
      <c r="E29" s="16">
        <f>D29</f>
        <v>44398</v>
      </c>
      <c r="F29" s="16">
        <f t="shared" ref="F29:H29" si="12">E29</f>
        <v>44398</v>
      </c>
      <c r="G29" s="16">
        <f t="shared" si="12"/>
        <v>44398</v>
      </c>
      <c r="H29" s="16">
        <f t="shared" si="12"/>
        <v>44398</v>
      </c>
    </row>
    <row r="30" spans="1:8" ht="14.25" customHeight="1" x14ac:dyDescent="0.3">
      <c r="A30" s="11" t="s">
        <v>46</v>
      </c>
      <c r="B30" s="12">
        <v>2942359</v>
      </c>
      <c r="C30" s="14">
        <v>4811749</v>
      </c>
      <c r="D30" s="14">
        <v>7573144</v>
      </c>
      <c r="E30" s="14">
        <f>D30+'P&amp;L'!E21</f>
        <v>10348980.383001614</v>
      </c>
      <c r="F30" s="14">
        <f>E30+'P&amp;L'!F21</f>
        <v>13742838.543196302</v>
      </c>
      <c r="G30" s="14">
        <f>F30+'P&amp;L'!G21</f>
        <v>17696559.018166106</v>
      </c>
      <c r="H30" s="14">
        <f>G30+'P&amp;L'!H21</f>
        <v>22230168.408147287</v>
      </c>
    </row>
    <row r="31" spans="1:8" ht="14.25" customHeight="1" x14ac:dyDescent="0.3">
      <c r="A31" s="10" t="s">
        <v>47</v>
      </c>
      <c r="B31" s="23">
        <f t="shared" ref="B31:H31" si="13">SUM(B27:B30)</f>
        <v>5238765</v>
      </c>
      <c r="C31" s="16">
        <f t="shared" si="13"/>
        <v>7582157</v>
      </c>
      <c r="D31" s="16">
        <f t="shared" si="13"/>
        <v>11065240</v>
      </c>
      <c r="E31" s="16">
        <f t="shared" si="13"/>
        <v>13841076.383001614</v>
      </c>
      <c r="F31" s="16">
        <f t="shared" si="13"/>
        <v>17234934.543196302</v>
      </c>
      <c r="G31" s="16">
        <f t="shared" si="13"/>
        <v>21188655.018166106</v>
      </c>
      <c r="H31" s="16">
        <f t="shared" si="13"/>
        <v>25722264.408147287</v>
      </c>
    </row>
    <row r="32" spans="1:8" ht="14.25" customHeight="1" x14ac:dyDescent="0.3">
      <c r="A32" s="10" t="s">
        <v>48</v>
      </c>
      <c r="B32" s="18">
        <f t="shared" ref="B32:F32" si="14">B25+B31</f>
        <v>25974400</v>
      </c>
      <c r="C32" s="18">
        <f t="shared" si="14"/>
        <v>33975712</v>
      </c>
      <c r="D32" s="18">
        <f t="shared" si="14"/>
        <v>39280359</v>
      </c>
      <c r="E32" s="18">
        <f t="shared" si="14"/>
        <v>41878804.496990293</v>
      </c>
      <c r="F32" s="18">
        <f t="shared" si="14"/>
        <v>45128105.201831236</v>
      </c>
      <c r="G32" s="18">
        <f t="shared" ref="G32:H32" si="15">ROUND(G25+G31,3)</f>
        <v>49604687.892999999</v>
      </c>
      <c r="H32" s="18">
        <f t="shared" si="15"/>
        <v>54261520.094999999</v>
      </c>
    </row>
    <row r="33" spans="1:8" ht="14.25" customHeight="1" x14ac:dyDescent="0.3"/>
    <row r="34" spans="1:8" ht="14.25" customHeight="1" x14ac:dyDescent="0.3"/>
    <row r="35" spans="1:8" ht="14.25" customHeight="1" x14ac:dyDescent="0.3">
      <c r="A35" s="42" t="s">
        <v>97</v>
      </c>
      <c r="B35" s="42" t="b">
        <f t="shared" ref="B35:H35" si="16">B32=B12</f>
        <v>1</v>
      </c>
      <c r="C35" s="42" t="b">
        <f t="shared" si="16"/>
        <v>1</v>
      </c>
      <c r="D35" s="42" t="b">
        <f t="shared" si="16"/>
        <v>1</v>
      </c>
      <c r="E35" s="42" t="b">
        <f t="shared" si="16"/>
        <v>1</v>
      </c>
      <c r="F35" s="42" t="b">
        <f t="shared" si="16"/>
        <v>1</v>
      </c>
      <c r="G35" s="42" t="b">
        <f t="shared" si="16"/>
        <v>1</v>
      </c>
      <c r="H35" s="42" t="b">
        <f t="shared" si="16"/>
        <v>1</v>
      </c>
    </row>
    <row r="36" spans="1:8" ht="14.25" customHeight="1" x14ac:dyDescent="0.3"/>
    <row r="37" spans="1:8" ht="14.25" customHeight="1" x14ac:dyDescent="0.3"/>
    <row r="38" spans="1:8" ht="14.25" customHeight="1" x14ac:dyDescent="0.3"/>
    <row r="39" spans="1:8" ht="14.25" customHeight="1" x14ac:dyDescent="0.3"/>
    <row r="40" spans="1:8" ht="14.25" customHeight="1" x14ac:dyDescent="0.3"/>
    <row r="41" spans="1:8" ht="14.25" customHeight="1" x14ac:dyDescent="0.3"/>
    <row r="42" spans="1:8" ht="14.25" customHeight="1" x14ac:dyDescent="0.3"/>
    <row r="43" spans="1:8" ht="14.25" customHeight="1" x14ac:dyDescent="0.3"/>
    <row r="44" spans="1:8" ht="14.25" customHeight="1" x14ac:dyDescent="0.3"/>
    <row r="45" spans="1:8" ht="14.25" customHeight="1" x14ac:dyDescent="0.3"/>
    <row r="46" spans="1:8" ht="14.25" customHeight="1" x14ac:dyDescent="0.3"/>
    <row r="47" spans="1:8" ht="14.25" customHeight="1" x14ac:dyDescent="0.3"/>
    <row r="48" spans="1: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1">
    <mergeCell ref="A1:H1"/>
  </mergeCells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1000"/>
  <sheetViews>
    <sheetView topLeftCell="S5" workbookViewId="0">
      <selection activeCell="E14" sqref="E14:H14"/>
    </sheetView>
  </sheetViews>
  <sheetFormatPr defaultColWidth="12.6640625" defaultRowHeight="15" customHeight="1" x14ac:dyDescent="0.3"/>
  <cols>
    <col min="1" max="1" width="30.75" customWidth="1"/>
    <col min="2" max="2" width="13.1640625" customWidth="1"/>
    <col min="3" max="4" width="8.75" customWidth="1"/>
    <col min="5" max="7" width="12" customWidth="1"/>
    <col min="8" max="8" width="12.4140625" customWidth="1"/>
    <col min="9" max="26" width="14.4140625" customWidth="1"/>
  </cols>
  <sheetData>
    <row r="1" spans="1:8" ht="25" x14ac:dyDescent="0.3">
      <c r="A1" s="121" t="s">
        <v>98</v>
      </c>
      <c r="B1" s="120"/>
      <c r="C1" s="120"/>
      <c r="D1" s="120"/>
      <c r="E1" s="120"/>
      <c r="F1" s="120"/>
      <c r="G1" s="120"/>
      <c r="H1" s="120"/>
    </row>
    <row r="2" spans="1:8" ht="14.25" customHeight="1" x14ac:dyDescent="0.3">
      <c r="A2" s="25"/>
    </row>
    <row r="3" spans="1:8" ht="14.25" customHeight="1" x14ac:dyDescent="0.3">
      <c r="A3" s="2" t="s">
        <v>1</v>
      </c>
      <c r="B3" s="3" t="s">
        <v>2</v>
      </c>
      <c r="C3" s="3" t="s">
        <v>3</v>
      </c>
      <c r="D3" s="3" t="s">
        <v>4</v>
      </c>
      <c r="E3" s="56" t="s">
        <v>61</v>
      </c>
      <c r="F3" s="56" t="s">
        <v>62</v>
      </c>
      <c r="G3" s="56" t="s">
        <v>63</v>
      </c>
      <c r="H3" s="56" t="s">
        <v>64</v>
      </c>
    </row>
    <row r="4" spans="1:8" ht="14.25" customHeight="1" x14ac:dyDescent="0.35">
      <c r="A4" s="25" t="s">
        <v>99</v>
      </c>
      <c r="B4" s="66"/>
      <c r="C4" s="66"/>
      <c r="D4" s="66"/>
      <c r="E4" s="43">
        <f>'P&amp;L'!E15</f>
        <v>3912365.5774570038</v>
      </c>
      <c r="F4" s="43">
        <f>'P&amp;L'!F15</f>
        <v>4596567.6395901954</v>
      </c>
      <c r="G4" s="43">
        <f>'P&amp;L'!G15</f>
        <v>5245223.4591717664</v>
      </c>
      <c r="H4" s="43">
        <f>'P&amp;L'!H15</f>
        <v>5898889.3643994136</v>
      </c>
    </row>
    <row r="5" spans="1:8" ht="14.25" customHeight="1" x14ac:dyDescent="0.35">
      <c r="A5" s="25" t="s">
        <v>100</v>
      </c>
      <c r="B5" s="66"/>
      <c r="C5" s="66"/>
      <c r="D5" s="66"/>
      <c r="E5" s="102">
        <f>E6*E4</f>
        <v>-535557.75068915728</v>
      </c>
      <c r="F5" s="102">
        <f t="shared" ref="F5:H5" si="0">F6*F4</f>
        <v>-629217.1263682344</v>
      </c>
      <c r="G5" s="102">
        <f t="shared" si="0"/>
        <v>-718010.63117468951</v>
      </c>
      <c r="H5" s="102">
        <f t="shared" si="0"/>
        <v>-807489.95895608154</v>
      </c>
    </row>
    <row r="6" spans="1:8" ht="14.25" customHeight="1" x14ac:dyDescent="0.35">
      <c r="A6" s="67" t="s">
        <v>101</v>
      </c>
      <c r="B6" s="66"/>
      <c r="C6" s="66"/>
      <c r="D6" s="66"/>
      <c r="E6" s="100">
        <v>-0.13688847324877654</v>
      </c>
      <c r="F6" s="100">
        <v>-0.13688847324877654</v>
      </c>
      <c r="G6" s="100">
        <v>-0.13688847324877654</v>
      </c>
      <c r="H6" s="100">
        <v>-0.13688847324877654</v>
      </c>
    </row>
    <row r="7" spans="1:8" ht="14.25" customHeight="1" x14ac:dyDescent="0.35">
      <c r="A7" s="30" t="s">
        <v>102</v>
      </c>
      <c r="B7" s="66"/>
      <c r="C7" s="66"/>
      <c r="D7" s="66"/>
      <c r="E7" s="68">
        <f>E4+E5</f>
        <v>3376807.8267678465</v>
      </c>
      <c r="F7" s="68">
        <f t="shared" ref="F7:H7" si="1">F4+F5</f>
        <v>3967350.513221961</v>
      </c>
      <c r="G7" s="68">
        <f t="shared" si="1"/>
        <v>4527212.8279970773</v>
      </c>
      <c r="H7" s="68">
        <f t="shared" si="1"/>
        <v>5091399.4054433322</v>
      </c>
    </row>
    <row r="8" spans="1:8" ht="14.25" customHeight="1" x14ac:dyDescent="0.35">
      <c r="A8" s="25" t="s">
        <v>103</v>
      </c>
      <c r="B8" s="66"/>
      <c r="C8" s="66"/>
      <c r="D8" s="66"/>
      <c r="E8" s="48">
        <f>Schedules!E16</f>
        <v>10579850.30949006</v>
      </c>
      <c r="F8" s="48">
        <f>Schedules!F16</f>
        <v>10895629.69539175</v>
      </c>
      <c r="G8" s="48">
        <f>Schedules!G16</f>
        <v>11121285.624228006</v>
      </c>
      <c r="H8" s="48">
        <f>Schedules!H16</f>
        <v>11282539.33644723</v>
      </c>
    </row>
    <row r="9" spans="1:8" ht="14.25" customHeight="1" x14ac:dyDescent="0.35">
      <c r="A9" s="57" t="s">
        <v>104</v>
      </c>
      <c r="B9" s="66"/>
      <c r="C9" s="66"/>
      <c r="D9" s="66"/>
      <c r="E9" s="48">
        <f>Schedules!E6</f>
        <v>186714.86806745233</v>
      </c>
      <c r="F9" s="48">
        <f>Schedules!F6</f>
        <v>214240.79180566277</v>
      </c>
      <c r="G9" s="48">
        <f>Schedules!G6</f>
        <v>235565.4695895089</v>
      </c>
      <c r="H9" s="48">
        <f>Schedules!H6</f>
        <v>252342.11800147456</v>
      </c>
    </row>
    <row r="10" spans="1:8" ht="14.25" customHeight="1" x14ac:dyDescent="0.35">
      <c r="A10" s="30" t="s">
        <v>105</v>
      </c>
      <c r="B10" s="66"/>
      <c r="C10" s="66"/>
      <c r="D10" s="66"/>
      <c r="E10" s="68">
        <f t="shared" ref="E10:H10" si="2">E7+E8+E9</f>
        <v>14143373.00432536</v>
      </c>
      <c r="F10" s="68">
        <f t="shared" si="2"/>
        <v>15077221.000419373</v>
      </c>
      <c r="G10" s="68">
        <f t="shared" si="2"/>
        <v>15884063.921814593</v>
      </c>
      <c r="H10" s="68">
        <f t="shared" si="2"/>
        <v>16626280.859892035</v>
      </c>
    </row>
    <row r="11" spans="1:8" ht="14.25" customHeight="1" x14ac:dyDescent="0.35">
      <c r="A11" s="25" t="s">
        <v>106</v>
      </c>
      <c r="B11" s="66"/>
      <c r="C11" s="66"/>
      <c r="D11" s="66"/>
      <c r="E11" s="48">
        <f>'Other Items'!E19-'Other Items'!D19</f>
        <v>106029.8545602411</v>
      </c>
      <c r="F11" s="48">
        <f>'Other Items'!F19-'Other Items'!E19</f>
        <v>132343.88224162918</v>
      </c>
      <c r="G11" s="48">
        <f>'Other Items'!G19-'Other Items'!F19</f>
        <v>124581.05035585572</v>
      </c>
      <c r="H11" s="48">
        <f>'Other Items'!H19-'Other Items'!G19</f>
        <v>124666.9684627098</v>
      </c>
    </row>
    <row r="12" spans="1:8" ht="14.25" customHeight="1" x14ac:dyDescent="0.35">
      <c r="A12" s="25" t="s">
        <v>73</v>
      </c>
      <c r="B12" s="66"/>
      <c r="C12" s="66"/>
      <c r="D12" s="66"/>
      <c r="E12" s="47">
        <f>'Other Items'!E25-'Other Items'!D25</f>
        <v>207098.69203451904</v>
      </c>
      <c r="F12" s="47">
        <f>'Other Items'!F25-'Other Items'!E25</f>
        <v>230076.99943249254</v>
      </c>
      <c r="G12" s="47">
        <f>'Other Items'!G25-'Other Items'!F25</f>
        <v>216581.48277448257</v>
      </c>
      <c r="H12" s="47">
        <f>'Other Items'!H25-'Other Items'!G25</f>
        <v>216730.84955961187</v>
      </c>
    </row>
    <row r="13" spans="1:8" ht="14.25" customHeight="1" x14ac:dyDescent="0.35">
      <c r="A13" s="25" t="s">
        <v>107</v>
      </c>
      <c r="B13" s="66"/>
      <c r="C13" s="66"/>
      <c r="D13" s="66"/>
      <c r="E13">
        <f ca="1">-E13</f>
        <v>0</v>
      </c>
    </row>
    <row r="14" spans="1:8" ht="14.25" customHeight="1" x14ac:dyDescent="0.35">
      <c r="A14" s="11" t="s">
        <v>108</v>
      </c>
      <c r="B14" s="66"/>
      <c r="C14" s="66"/>
      <c r="D14" s="66"/>
      <c r="E14" s="47">
        <f>'Other Items'!E22-'Other Items'!D22</f>
        <v>9480.5673939133994</v>
      </c>
      <c r="F14" s="47">
        <f>'Other Items'!F22-'Other Items'!E22</f>
        <v>193021.66297213826</v>
      </c>
      <c r="G14" s="47">
        <f>'Other Items'!G22-'Other Items'!F22</f>
        <v>181699.68348517292</v>
      </c>
      <c r="H14" s="47">
        <f>'Other Items'!H22-'Other Items'!G22</f>
        <v>181824.99381749448</v>
      </c>
    </row>
    <row r="15" spans="1:8" ht="14.25" customHeight="1" x14ac:dyDescent="0.35">
      <c r="A15" s="57" t="s">
        <v>109</v>
      </c>
      <c r="B15" s="66"/>
      <c r="C15" s="66"/>
      <c r="D15" s="66"/>
      <c r="E15" s="43">
        <f>-('Other Items'!E16-'Other Items'!D16)</f>
        <v>-227107.35170919797</v>
      </c>
      <c r="F15" s="43">
        <f>-('Other Items'!F16-'Other Items'!E16)</f>
        <v>-309608.16034965101</v>
      </c>
      <c r="G15" s="43">
        <f>-('Other Items'!G16-'Other Items'!F16)</f>
        <v>-291447.6223742743</v>
      </c>
      <c r="H15" s="43">
        <f>-('Other Items'!H16-'Other Items'!G16)</f>
        <v>-291648.62106460519</v>
      </c>
    </row>
    <row r="16" spans="1:8" ht="14.25" customHeight="1" x14ac:dyDescent="0.35">
      <c r="A16" s="30" t="s">
        <v>110</v>
      </c>
      <c r="B16" s="66"/>
      <c r="C16" s="66"/>
      <c r="D16" s="66"/>
      <c r="E16" s="68">
        <f>E11+E12+E14+E15</f>
        <v>95501.762279475573</v>
      </c>
      <c r="F16" s="68">
        <f t="shared" ref="F16:H16" si="3">F11+F12+F14+F15</f>
        <v>245834.38429660897</v>
      </c>
      <c r="G16" s="68">
        <f t="shared" si="3"/>
        <v>231414.59424123692</v>
      </c>
      <c r="H16" s="68">
        <f t="shared" si="3"/>
        <v>231574.19077521097</v>
      </c>
    </row>
    <row r="17" spans="1:8" ht="14.25" customHeight="1" x14ac:dyDescent="0.35">
      <c r="A17" s="25" t="s">
        <v>80</v>
      </c>
      <c r="B17" s="66"/>
      <c r="C17" s="66"/>
      <c r="D17" s="66"/>
      <c r="E17" s="48">
        <f>Schedules!E15</f>
        <v>11686295</v>
      </c>
      <c r="F17" s="48">
        <f>Schedules!F15</f>
        <v>11686295</v>
      </c>
      <c r="G17" s="48">
        <f>Schedules!G15</f>
        <v>11686295</v>
      </c>
      <c r="H17" s="48">
        <f>Schedules!H15</f>
        <v>11686295</v>
      </c>
    </row>
    <row r="18" spans="1:8" ht="14.25" customHeight="1" x14ac:dyDescent="0.35">
      <c r="A18" s="57" t="s">
        <v>74</v>
      </c>
      <c r="B18" s="66"/>
      <c r="C18" s="66"/>
      <c r="D18" s="66"/>
      <c r="E18" s="48">
        <f>Schedules!E5</f>
        <v>510672</v>
      </c>
      <c r="F18" s="48">
        <f>Schedules!F5</f>
        <v>510672</v>
      </c>
      <c r="G18" s="48">
        <f>Schedules!G5</f>
        <v>510672</v>
      </c>
      <c r="H18" s="48">
        <f>Schedules!H5</f>
        <v>510672</v>
      </c>
    </row>
    <row r="19" spans="1:8" ht="14.25" customHeight="1" x14ac:dyDescent="0.35">
      <c r="A19" s="30" t="s">
        <v>111</v>
      </c>
      <c r="B19" s="66"/>
      <c r="C19" s="66"/>
      <c r="D19" s="66"/>
      <c r="E19" s="69">
        <f>-(E17+E18)</f>
        <v>-12196967</v>
      </c>
      <c r="F19" s="69">
        <f t="shared" ref="F19:H19" si="4">-(F17+F18)</f>
        <v>-12196967</v>
      </c>
      <c r="G19" s="69">
        <f t="shared" si="4"/>
        <v>-12196967</v>
      </c>
      <c r="H19" s="69">
        <f t="shared" si="4"/>
        <v>-12196967</v>
      </c>
    </row>
    <row r="20" spans="1:8" ht="14.25" customHeight="1" x14ac:dyDescent="0.35">
      <c r="A20" s="70" t="s">
        <v>112</v>
      </c>
      <c r="B20" s="66"/>
      <c r="C20" s="66"/>
      <c r="D20" s="66"/>
      <c r="E20" s="71"/>
      <c r="F20" s="71"/>
      <c r="G20" s="71"/>
      <c r="H20" s="71"/>
    </row>
    <row r="21" spans="1:8" ht="14.25" customHeight="1" x14ac:dyDescent="0.35">
      <c r="A21" s="105" t="s">
        <v>113</v>
      </c>
      <c r="B21" s="72"/>
      <c r="C21" s="72"/>
      <c r="D21" s="72"/>
      <c r="E21" s="73">
        <f>E19+E16+E10</f>
        <v>2041907.7666048352</v>
      </c>
      <c r="F21" s="73">
        <f t="shared" ref="F21:H21" si="5">F19+F16+F10</f>
        <v>3126088.3847159818</v>
      </c>
      <c r="G21" s="73">
        <f t="shared" si="5"/>
        <v>3918511.5160558298</v>
      </c>
      <c r="H21" s="73">
        <f t="shared" si="5"/>
        <v>4660888.0506672468</v>
      </c>
    </row>
    <row r="22" spans="1:8" ht="14.25" customHeight="1" x14ac:dyDescent="0.35">
      <c r="A22" s="1" t="s">
        <v>114</v>
      </c>
      <c r="B22" s="66"/>
      <c r="C22" s="66"/>
      <c r="D22" s="66"/>
      <c r="E22" s="47">
        <f>Schedules!E24</f>
        <v>-500000</v>
      </c>
      <c r="F22" s="47">
        <f>Schedules!F24</f>
        <v>-700000</v>
      </c>
      <c r="G22" s="47">
        <f>Schedules!G24</f>
        <v>0</v>
      </c>
      <c r="H22" s="47">
        <f>Schedules!H24</f>
        <v>-400000</v>
      </c>
    </row>
    <row r="23" spans="1:8" ht="14.25" customHeight="1" x14ac:dyDescent="0.35">
      <c r="A23" s="74" t="s">
        <v>87</v>
      </c>
      <c r="B23" s="66"/>
      <c r="C23" s="66"/>
      <c r="D23" s="66"/>
      <c r="E23" s="47">
        <f>'P&amp;L'!E16</f>
        <v>-696284.80809230579</v>
      </c>
      <c r="F23" s="47">
        <f>'P&amp;L'!F16</f>
        <v>-664447.56587357156</v>
      </c>
      <c r="G23" s="47">
        <f>'P&amp;L'!G16</f>
        <v>-664447.56587357156</v>
      </c>
      <c r="H23" s="47">
        <f>'P&amp;L'!H16</f>
        <v>-646254.85603429482</v>
      </c>
    </row>
    <row r="24" spans="1:8" ht="14.25" customHeight="1" x14ac:dyDescent="0.35">
      <c r="A24" s="74" t="s">
        <v>115</v>
      </c>
      <c r="B24" s="66"/>
      <c r="C24" s="66"/>
      <c r="D24" s="66"/>
      <c r="E24" s="47">
        <f>'P&amp;L'!E19-'Cashflow Statement'!E5</f>
        <v>95313.364326073148</v>
      </c>
      <c r="F24" s="47">
        <f>'P&amp;L'!F19-'Cashflow Statement'!F5</f>
        <v>90955.212846299168</v>
      </c>
      <c r="G24" s="47">
        <f>'P&amp;L'!G19-'Cashflow Statement'!G5</f>
        <v>90955.212846299168</v>
      </c>
      <c r="H24" s="47">
        <f>'P&amp;L'!H19-'Cashflow Statement'!H5</f>
        <v>88464.840572142508</v>
      </c>
    </row>
    <row r="25" spans="1:8" ht="14.25" customHeight="1" x14ac:dyDescent="0.35">
      <c r="A25" s="75" t="s">
        <v>116</v>
      </c>
      <c r="E25" s="68">
        <f t="shared" ref="E25:H25" si="6">SUM(E21:E24)</f>
        <v>940936.32283860259</v>
      </c>
      <c r="F25" s="68">
        <f t="shared" si="6"/>
        <v>1852596.0316887093</v>
      </c>
      <c r="G25" s="68">
        <f t="shared" si="6"/>
        <v>3345019.1630285573</v>
      </c>
      <c r="H25" s="68">
        <f t="shared" si="6"/>
        <v>3703098.0352050946</v>
      </c>
    </row>
    <row r="26" spans="1:8" ht="14.25" customHeight="1" x14ac:dyDescent="0.3">
      <c r="A26" s="76"/>
    </row>
    <row r="27" spans="1:8" ht="14.25" customHeight="1" x14ac:dyDescent="0.3">
      <c r="A27" s="74"/>
    </row>
    <row r="28" spans="1:8" ht="14.25" customHeight="1" x14ac:dyDescent="0.3">
      <c r="A28" s="25"/>
    </row>
    <row r="29" spans="1:8" ht="14.25" customHeight="1" x14ac:dyDescent="0.3">
      <c r="A29" s="25"/>
    </row>
    <row r="30" spans="1:8" ht="14.25" customHeight="1" x14ac:dyDescent="0.3">
      <c r="A30" s="74"/>
    </row>
    <row r="31" spans="1:8" ht="14.25" customHeight="1" x14ac:dyDescent="0.3">
      <c r="A31" s="74"/>
    </row>
    <row r="32" spans="1:8" ht="14.25" customHeight="1" x14ac:dyDescent="0.3">
      <c r="A32" s="25"/>
    </row>
    <row r="33" spans="1:1" ht="14.25" customHeight="1" x14ac:dyDescent="0.3">
      <c r="A33" s="25"/>
    </row>
    <row r="34" spans="1:1" ht="14.25" customHeight="1" x14ac:dyDescent="0.3">
      <c r="A34" s="25"/>
    </row>
    <row r="35" spans="1:1" ht="14.25" customHeight="1" x14ac:dyDescent="0.3">
      <c r="A35" s="25"/>
    </row>
    <row r="36" spans="1:1" ht="14.25" customHeight="1" x14ac:dyDescent="0.3">
      <c r="A36" s="25"/>
    </row>
    <row r="37" spans="1:1" ht="14.25" customHeight="1" x14ac:dyDescent="0.3">
      <c r="A37" s="25"/>
    </row>
    <row r="38" spans="1:1" ht="14.25" customHeight="1" x14ac:dyDescent="0.3">
      <c r="A38" s="25"/>
    </row>
    <row r="39" spans="1:1" ht="14.25" customHeight="1" x14ac:dyDescent="0.3">
      <c r="A39" s="25"/>
    </row>
    <row r="40" spans="1:1" ht="14.25" customHeight="1" x14ac:dyDescent="0.3">
      <c r="A40" s="25"/>
    </row>
    <row r="41" spans="1:1" ht="14.25" customHeight="1" x14ac:dyDescent="0.3">
      <c r="A41" s="25"/>
    </row>
    <row r="42" spans="1:1" ht="14.25" customHeight="1" x14ac:dyDescent="0.3">
      <c r="A42" s="25"/>
    </row>
    <row r="43" spans="1:1" ht="14.25" customHeight="1" x14ac:dyDescent="0.3">
      <c r="A43" s="25"/>
    </row>
    <row r="44" spans="1:1" ht="14.25" customHeight="1" x14ac:dyDescent="0.3">
      <c r="A44" s="25"/>
    </row>
    <row r="45" spans="1:1" ht="14.25" customHeight="1" x14ac:dyDescent="0.3">
      <c r="A45" s="25"/>
    </row>
    <row r="46" spans="1:1" ht="14.25" customHeight="1" x14ac:dyDescent="0.3">
      <c r="A46" s="25"/>
    </row>
    <row r="47" spans="1:1" ht="14.25" customHeight="1" x14ac:dyDescent="0.3">
      <c r="A47" s="25"/>
    </row>
    <row r="48" spans="1:1" ht="14.25" customHeight="1" x14ac:dyDescent="0.3">
      <c r="A48" s="25"/>
    </row>
    <row r="49" spans="1:1" ht="14.25" customHeight="1" x14ac:dyDescent="0.3">
      <c r="A49" s="25"/>
    </row>
    <row r="50" spans="1:1" ht="14.25" customHeight="1" x14ac:dyDescent="0.3">
      <c r="A50" s="25"/>
    </row>
    <row r="51" spans="1:1" ht="14.25" customHeight="1" x14ac:dyDescent="0.3">
      <c r="A51" s="25"/>
    </row>
    <row r="52" spans="1:1" ht="14.25" customHeight="1" x14ac:dyDescent="0.3">
      <c r="A52" s="25"/>
    </row>
    <row r="53" spans="1:1" ht="14.25" customHeight="1" x14ac:dyDescent="0.3">
      <c r="A53" s="25"/>
    </row>
    <row r="54" spans="1:1" ht="14.25" customHeight="1" x14ac:dyDescent="0.3">
      <c r="A54" s="25"/>
    </row>
    <row r="55" spans="1:1" ht="14.25" customHeight="1" x14ac:dyDescent="0.3">
      <c r="A55" s="25"/>
    </row>
    <row r="56" spans="1:1" ht="14.25" customHeight="1" x14ac:dyDescent="0.3">
      <c r="A56" s="25"/>
    </row>
    <row r="57" spans="1:1" ht="14.25" customHeight="1" x14ac:dyDescent="0.3">
      <c r="A57" s="25"/>
    </row>
    <row r="58" spans="1:1" ht="14.25" customHeight="1" x14ac:dyDescent="0.3">
      <c r="A58" s="25"/>
    </row>
    <row r="59" spans="1:1" ht="14.25" customHeight="1" x14ac:dyDescent="0.3">
      <c r="A59" s="25"/>
    </row>
    <row r="60" spans="1:1" ht="14.25" customHeight="1" x14ac:dyDescent="0.3">
      <c r="A60" s="25"/>
    </row>
    <row r="61" spans="1:1" ht="14.25" customHeight="1" x14ac:dyDescent="0.3">
      <c r="A61" s="25"/>
    </row>
    <row r="62" spans="1:1" ht="14.25" customHeight="1" x14ac:dyDescent="0.3">
      <c r="A62" s="25"/>
    </row>
    <row r="63" spans="1:1" ht="14.25" customHeight="1" x14ac:dyDescent="0.3">
      <c r="A63" s="25"/>
    </row>
    <row r="64" spans="1:1" ht="14.25" customHeight="1" x14ac:dyDescent="0.3">
      <c r="A64" s="25"/>
    </row>
    <row r="65" spans="1:1" ht="14.25" customHeight="1" x14ac:dyDescent="0.3">
      <c r="A65" s="25"/>
    </row>
    <row r="66" spans="1:1" ht="14.25" customHeight="1" x14ac:dyDescent="0.3">
      <c r="A66" s="25"/>
    </row>
    <row r="67" spans="1:1" ht="14.25" customHeight="1" x14ac:dyDescent="0.3">
      <c r="A67" s="25"/>
    </row>
    <row r="68" spans="1:1" ht="14.25" customHeight="1" x14ac:dyDescent="0.3">
      <c r="A68" s="25"/>
    </row>
    <row r="69" spans="1:1" ht="14.25" customHeight="1" x14ac:dyDescent="0.3">
      <c r="A69" s="25"/>
    </row>
    <row r="70" spans="1:1" ht="14.25" customHeight="1" x14ac:dyDescent="0.3">
      <c r="A70" s="25"/>
    </row>
    <row r="71" spans="1:1" ht="14.25" customHeight="1" x14ac:dyDescent="0.3">
      <c r="A71" s="25"/>
    </row>
    <row r="72" spans="1:1" ht="14.25" customHeight="1" x14ac:dyDescent="0.3">
      <c r="A72" s="25"/>
    </row>
    <row r="73" spans="1:1" ht="14.25" customHeight="1" x14ac:dyDescent="0.3">
      <c r="A73" s="25"/>
    </row>
    <row r="74" spans="1:1" ht="14.25" customHeight="1" x14ac:dyDescent="0.3">
      <c r="A74" s="25"/>
    </row>
    <row r="75" spans="1:1" ht="14.25" customHeight="1" x14ac:dyDescent="0.3">
      <c r="A75" s="25"/>
    </row>
    <row r="76" spans="1:1" ht="14.25" customHeight="1" x14ac:dyDescent="0.3">
      <c r="A76" s="25"/>
    </row>
    <row r="77" spans="1:1" ht="14.25" customHeight="1" x14ac:dyDescent="0.3">
      <c r="A77" s="25"/>
    </row>
    <row r="78" spans="1:1" ht="14.25" customHeight="1" x14ac:dyDescent="0.3">
      <c r="A78" s="25"/>
    </row>
    <row r="79" spans="1:1" ht="14.25" customHeight="1" x14ac:dyDescent="0.3">
      <c r="A79" s="25"/>
    </row>
    <row r="80" spans="1:1" ht="14.25" customHeight="1" x14ac:dyDescent="0.3">
      <c r="A80" s="25"/>
    </row>
    <row r="81" spans="1:1" ht="14.25" customHeight="1" x14ac:dyDescent="0.3">
      <c r="A81" s="25"/>
    </row>
    <row r="82" spans="1:1" ht="14.25" customHeight="1" x14ac:dyDescent="0.3">
      <c r="A82" s="25"/>
    </row>
    <row r="83" spans="1:1" ht="14.25" customHeight="1" x14ac:dyDescent="0.3">
      <c r="A83" s="25"/>
    </row>
    <row r="84" spans="1:1" ht="14.25" customHeight="1" x14ac:dyDescent="0.3">
      <c r="A84" s="25"/>
    </row>
    <row r="85" spans="1:1" ht="14.25" customHeight="1" x14ac:dyDescent="0.3">
      <c r="A85" s="25"/>
    </row>
    <row r="86" spans="1:1" ht="14.25" customHeight="1" x14ac:dyDescent="0.3">
      <c r="A86" s="25"/>
    </row>
    <row r="87" spans="1:1" ht="14.25" customHeight="1" x14ac:dyDescent="0.3">
      <c r="A87" s="25"/>
    </row>
    <row r="88" spans="1:1" ht="14.25" customHeight="1" x14ac:dyDescent="0.3">
      <c r="A88" s="25"/>
    </row>
    <row r="89" spans="1:1" ht="14.25" customHeight="1" x14ac:dyDescent="0.3">
      <c r="A89" s="25"/>
    </row>
    <row r="90" spans="1:1" ht="14.25" customHeight="1" x14ac:dyDescent="0.3">
      <c r="A90" s="25"/>
    </row>
    <row r="91" spans="1:1" ht="14.25" customHeight="1" x14ac:dyDescent="0.3">
      <c r="A91" s="25"/>
    </row>
    <row r="92" spans="1:1" ht="14.25" customHeight="1" x14ac:dyDescent="0.3">
      <c r="A92" s="25"/>
    </row>
    <row r="93" spans="1:1" ht="14.25" customHeight="1" x14ac:dyDescent="0.3">
      <c r="A93" s="25"/>
    </row>
    <row r="94" spans="1:1" ht="14.25" customHeight="1" x14ac:dyDescent="0.3">
      <c r="A94" s="25"/>
    </row>
    <row r="95" spans="1:1" ht="14.25" customHeight="1" x14ac:dyDescent="0.3">
      <c r="A95" s="25"/>
    </row>
    <row r="96" spans="1:1" ht="14.25" customHeight="1" x14ac:dyDescent="0.3">
      <c r="A96" s="25"/>
    </row>
    <row r="97" spans="1:1" ht="14.25" customHeight="1" x14ac:dyDescent="0.3">
      <c r="A97" s="25"/>
    </row>
    <row r="98" spans="1:1" ht="14.25" customHeight="1" x14ac:dyDescent="0.3">
      <c r="A98" s="25"/>
    </row>
    <row r="99" spans="1:1" ht="14.25" customHeight="1" x14ac:dyDescent="0.3">
      <c r="A99" s="25"/>
    </row>
    <row r="100" spans="1:1" ht="14.25" customHeight="1" x14ac:dyDescent="0.3">
      <c r="A100" s="25"/>
    </row>
    <row r="101" spans="1:1" ht="15.75" customHeight="1" x14ac:dyDescent="0.3"/>
    <row r="102" spans="1:1" ht="15.75" customHeight="1" x14ac:dyDescent="0.3"/>
    <row r="103" spans="1:1" ht="15.75" customHeight="1" x14ac:dyDescent="0.3"/>
    <row r="104" spans="1:1" ht="15.75" customHeight="1" x14ac:dyDescent="0.3"/>
    <row r="105" spans="1:1" ht="15.75" customHeight="1" x14ac:dyDescent="0.3"/>
    <row r="106" spans="1:1" ht="15.75" customHeight="1" x14ac:dyDescent="0.3"/>
    <row r="107" spans="1:1" ht="15.75" customHeight="1" x14ac:dyDescent="0.3"/>
    <row r="108" spans="1:1" ht="15.75" customHeight="1" x14ac:dyDescent="0.3"/>
    <row r="109" spans="1:1" ht="15.75" customHeight="1" x14ac:dyDescent="0.3"/>
    <row r="110" spans="1:1" ht="15.75" customHeight="1" x14ac:dyDescent="0.3"/>
    <row r="111" spans="1:1" ht="15.75" customHeight="1" x14ac:dyDescent="0.3"/>
    <row r="112" spans="1:1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1">
    <mergeCell ref="A1:H1"/>
  </mergeCells>
  <pageMargins left="0.7" right="0.7" top="0.75" bottom="0.75" header="0" footer="0"/>
  <pageSetup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O1000"/>
  <sheetViews>
    <sheetView topLeftCell="F2" workbookViewId="0">
      <selection activeCell="J6" sqref="J6:P12"/>
    </sheetView>
  </sheetViews>
  <sheetFormatPr defaultColWidth="12.6640625" defaultRowHeight="15" customHeight="1" x14ac:dyDescent="0.3"/>
  <cols>
    <col min="1" max="1" width="18.75" customWidth="1"/>
    <col min="2" max="2" width="13.6640625" customWidth="1"/>
    <col min="3" max="7" width="8.75" customWidth="1"/>
    <col min="8" max="25" width="14.4140625" customWidth="1"/>
  </cols>
  <sheetData>
    <row r="1" spans="1:15" ht="26" x14ac:dyDescent="0.6">
      <c r="A1" s="119" t="s">
        <v>164</v>
      </c>
      <c r="B1" s="120"/>
      <c r="C1" s="120"/>
      <c r="D1" s="120"/>
      <c r="E1" s="120"/>
      <c r="F1" s="120"/>
      <c r="G1" s="120"/>
      <c r="H1" s="96"/>
    </row>
    <row r="2" spans="1:15" ht="14.25" customHeight="1" x14ac:dyDescent="0.35">
      <c r="A2" s="71"/>
      <c r="B2" s="71"/>
      <c r="C2" s="71"/>
      <c r="D2" s="71"/>
      <c r="E2" s="71"/>
    </row>
    <row r="3" spans="1:15" ht="14.25" customHeight="1" x14ac:dyDescent="0.35">
      <c r="A3" s="77" t="s">
        <v>118</v>
      </c>
      <c r="B3" s="78">
        <v>1.67E-2</v>
      </c>
      <c r="D3" s="106" t="s">
        <v>159</v>
      </c>
    </row>
    <row r="4" spans="1:15" ht="14.25" customHeight="1" x14ac:dyDescent="0.35">
      <c r="A4" s="79" t="s">
        <v>119</v>
      </c>
      <c r="B4" s="80">
        <v>5.5E-2</v>
      </c>
    </row>
    <row r="5" spans="1:15" ht="14.25" customHeight="1" x14ac:dyDescent="0.35">
      <c r="A5" s="81" t="s">
        <v>120</v>
      </c>
      <c r="B5" s="82">
        <v>1.0580000000000001</v>
      </c>
      <c r="D5" s="96" t="s">
        <v>160</v>
      </c>
    </row>
    <row r="6" spans="1:15" ht="14.25" customHeight="1" x14ac:dyDescent="0.3">
      <c r="K6" s="111"/>
      <c r="L6" s="111"/>
      <c r="M6" s="111"/>
      <c r="N6" s="111"/>
      <c r="O6" s="111"/>
    </row>
    <row r="7" spans="1:15" ht="14.25" customHeight="1" x14ac:dyDescent="0.35">
      <c r="A7" s="83" t="s">
        <v>1</v>
      </c>
      <c r="B7" s="84" t="s">
        <v>121</v>
      </c>
      <c r="J7" s="111"/>
    </row>
    <row r="8" spans="1:15" ht="14.25" customHeight="1" x14ac:dyDescent="0.35">
      <c r="A8" s="79"/>
      <c r="B8" s="85"/>
      <c r="J8" s="111"/>
    </row>
    <row r="9" spans="1:15" ht="14.25" customHeight="1" x14ac:dyDescent="0.45">
      <c r="A9" s="79" t="s">
        <v>122</v>
      </c>
      <c r="B9" s="80">
        <f>B3*B5+B4</f>
        <v>7.26686E-2</v>
      </c>
      <c r="D9" s="107" t="s">
        <v>123</v>
      </c>
      <c r="E9" s="86"/>
      <c r="F9" s="86"/>
      <c r="G9" s="86"/>
      <c r="J9" s="118"/>
    </row>
    <row r="10" spans="1:15" ht="14.25" customHeight="1" x14ac:dyDescent="0.35">
      <c r="A10" s="79" t="s">
        <v>124</v>
      </c>
      <c r="B10" s="80">
        <v>4.8750000000000002E-2</v>
      </c>
      <c r="D10" s="96" t="s">
        <v>161</v>
      </c>
      <c r="J10" s="111"/>
    </row>
    <row r="11" spans="1:15" ht="14.25" customHeight="1" x14ac:dyDescent="0.35">
      <c r="A11" s="79"/>
      <c r="B11" s="85"/>
      <c r="J11" s="111"/>
    </row>
    <row r="12" spans="1:15" ht="14.25" customHeight="1" x14ac:dyDescent="0.35">
      <c r="A12" s="79" t="s">
        <v>125</v>
      </c>
      <c r="B12" s="87">
        <f>'Balance Sheet'!H31</f>
        <v>25722264.408147287</v>
      </c>
    </row>
    <row r="13" spans="1:15" ht="14.25" customHeight="1" x14ac:dyDescent="0.35">
      <c r="A13" s="79" t="s">
        <v>126</v>
      </c>
      <c r="B13" s="87">
        <f>'Balance Sheet'!H23</f>
        <v>14209095</v>
      </c>
      <c r="D13" s="96" t="s">
        <v>162</v>
      </c>
    </row>
    <row r="14" spans="1:15" ht="14.25" customHeight="1" x14ac:dyDescent="0.35">
      <c r="A14" s="79"/>
      <c r="B14" s="85"/>
    </row>
    <row r="15" spans="1:15" ht="14.25" customHeight="1" x14ac:dyDescent="0.35">
      <c r="A15" s="79" t="s">
        <v>127</v>
      </c>
      <c r="B15" s="108">
        <f>B12/(B12+B13)</f>
        <v>0.64416200172987625</v>
      </c>
    </row>
    <row r="16" spans="1:15" ht="14.25" customHeight="1" x14ac:dyDescent="0.35">
      <c r="A16" s="79" t="s">
        <v>128</v>
      </c>
      <c r="B16" s="108">
        <f>B13/(B13+B12)</f>
        <v>0.35583799827012363</v>
      </c>
    </row>
    <row r="17" spans="1:2" ht="14.25" customHeight="1" x14ac:dyDescent="0.35">
      <c r="A17" s="79"/>
      <c r="B17" s="85"/>
    </row>
    <row r="18" spans="1:2" ht="14.25" customHeight="1" x14ac:dyDescent="0.35">
      <c r="A18" s="109" t="s">
        <v>117</v>
      </c>
      <c r="B18" s="110">
        <f>B9*B15+B10*B16</f>
        <v>6.4157453254576211E-2</v>
      </c>
    </row>
    <row r="19" spans="1:2" ht="14.25" customHeight="1" x14ac:dyDescent="0.35">
      <c r="A19" s="79" t="s">
        <v>163</v>
      </c>
    </row>
    <row r="20" spans="1:2" ht="14.25" customHeight="1" x14ac:dyDescent="0.3"/>
    <row r="21" spans="1:2" ht="14.25" customHeight="1" x14ac:dyDescent="0.3"/>
    <row r="22" spans="1:2" ht="14.25" customHeight="1" x14ac:dyDescent="0.3"/>
    <row r="23" spans="1:2" ht="14.25" customHeight="1" x14ac:dyDescent="0.3"/>
    <row r="24" spans="1:2" ht="14.25" customHeight="1" x14ac:dyDescent="0.3"/>
    <row r="25" spans="1:2" ht="14.25" customHeight="1" x14ac:dyDescent="0.3"/>
    <row r="26" spans="1:2" ht="14.25" customHeight="1" x14ac:dyDescent="0.3"/>
    <row r="27" spans="1:2" ht="14.25" customHeight="1" x14ac:dyDescent="0.3"/>
    <row r="28" spans="1:2" ht="14.25" customHeight="1" x14ac:dyDescent="0.3"/>
    <row r="29" spans="1:2" ht="14.25" customHeight="1" x14ac:dyDescent="0.3"/>
    <row r="30" spans="1:2" ht="14.25" customHeight="1" x14ac:dyDescent="0.3"/>
    <row r="31" spans="1:2" ht="14.25" customHeight="1" x14ac:dyDescent="0.3"/>
    <row r="32" spans="1: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1">
    <mergeCell ref="A1:G1"/>
  </mergeCells>
  <pageMargins left="0.7" right="0.7" top="0.75" bottom="0.75" header="0" footer="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1000"/>
  <sheetViews>
    <sheetView tabSelected="1" topLeftCell="A5" workbookViewId="0">
      <selection activeCell="I2" sqref="I2"/>
    </sheetView>
  </sheetViews>
  <sheetFormatPr defaultColWidth="12.6640625" defaultRowHeight="15" customHeight="1" x14ac:dyDescent="0.3"/>
  <cols>
    <col min="1" max="1" width="25.1640625" customWidth="1"/>
    <col min="2" max="5" width="14.6640625" customWidth="1"/>
    <col min="6" max="6" width="8.75" customWidth="1"/>
    <col min="7" max="26" width="14.4140625" customWidth="1"/>
  </cols>
  <sheetData>
    <row r="1" spans="1:10" ht="26" x14ac:dyDescent="0.6">
      <c r="A1" s="119" t="s">
        <v>129</v>
      </c>
      <c r="B1" s="120"/>
      <c r="C1" s="120"/>
      <c r="D1" s="120"/>
      <c r="E1" s="120"/>
      <c r="F1" s="120"/>
    </row>
    <row r="2" spans="1:10" ht="14.25" customHeight="1" x14ac:dyDescent="0.3">
      <c r="I2" s="95" t="s">
        <v>166</v>
      </c>
    </row>
    <row r="3" spans="1:10" ht="14.25" customHeight="1" x14ac:dyDescent="0.3">
      <c r="A3" s="2" t="s">
        <v>1</v>
      </c>
      <c r="B3" s="56" t="s">
        <v>61</v>
      </c>
      <c r="C3" s="56" t="s">
        <v>62</v>
      </c>
      <c r="D3" s="56" t="s">
        <v>63</v>
      </c>
      <c r="E3" s="56" t="s">
        <v>64</v>
      </c>
    </row>
    <row r="4" spans="1:10" ht="14.25" customHeight="1" x14ac:dyDescent="0.35">
      <c r="A4" s="42" t="s">
        <v>113</v>
      </c>
      <c r="B4" s="88">
        <f>'Cashflow Statement'!E21</f>
        <v>2041907.7666048352</v>
      </c>
      <c r="C4" s="88">
        <f>'Cashflow Statement'!F21</f>
        <v>3126088.3847159818</v>
      </c>
      <c r="D4" s="88">
        <f>'Cashflow Statement'!G21</f>
        <v>3918511.5160558298</v>
      </c>
      <c r="E4" s="88">
        <f>'Cashflow Statement'!H21</f>
        <v>4660888.0506672468</v>
      </c>
    </row>
    <row r="5" spans="1:10" ht="14.25" customHeight="1" x14ac:dyDescent="0.3">
      <c r="A5" s="42" t="s">
        <v>130</v>
      </c>
      <c r="B5" s="111">
        <f>1/(1+WACC!$B$18)^B6</f>
        <v>0.93971056345246695</v>
      </c>
      <c r="C5" s="111">
        <f>1/(1+WACC!$B$18)^C6</f>
        <v>0.88305594306415292</v>
      </c>
      <c r="D5" s="111">
        <f>1/(1+WACC!$B$18)^D6</f>
        <v>0.8298169978168648</v>
      </c>
      <c r="E5" s="111">
        <f>1/(1+WACC!$B$18)^E6</f>
        <v>0.7797877985809204</v>
      </c>
      <c r="G5" s="96" t="s">
        <v>165</v>
      </c>
    </row>
    <row r="6" spans="1:10" ht="14.25" customHeight="1" x14ac:dyDescent="0.3">
      <c r="A6" s="42" t="s">
        <v>131</v>
      </c>
      <c r="B6" s="42">
        <v>1</v>
      </c>
      <c r="C6" s="42">
        <v>2</v>
      </c>
      <c r="D6" s="42">
        <v>3</v>
      </c>
      <c r="E6" s="42">
        <v>4</v>
      </c>
    </row>
    <row r="7" spans="1:10" ht="14.25" customHeight="1" x14ac:dyDescent="0.3"/>
    <row r="8" spans="1:10" ht="14.25" customHeight="1" x14ac:dyDescent="0.35">
      <c r="A8" s="42" t="s">
        <v>132</v>
      </c>
      <c r="B8" s="47">
        <f t="shared" ref="B8:E8" si="0">B4*B5</f>
        <v>1918802.2978741981</v>
      </c>
      <c r="C8" s="47">
        <f t="shared" si="0"/>
        <v>2760510.9266672656</v>
      </c>
      <c r="D8" s="47">
        <f t="shared" si="0"/>
        <v>3251647.46216426</v>
      </c>
      <c r="E8" s="47">
        <f t="shared" si="0"/>
        <v>3634503.6324619297</v>
      </c>
    </row>
    <row r="9" spans="1:10" ht="14.25" customHeight="1" x14ac:dyDescent="0.3"/>
    <row r="10" spans="1:10" ht="14.25" customHeight="1" x14ac:dyDescent="0.35">
      <c r="A10" s="42" t="s">
        <v>133</v>
      </c>
      <c r="B10" s="47">
        <f>SUM(B8:E8)</f>
        <v>11565464.319167653</v>
      </c>
    </row>
    <row r="11" spans="1:10" ht="14.25" customHeight="1" x14ac:dyDescent="0.35">
      <c r="E11" s="89"/>
    </row>
    <row r="12" spans="1:10" ht="14.25" customHeight="1" x14ac:dyDescent="0.35">
      <c r="A12" s="42" t="s">
        <v>134</v>
      </c>
      <c r="B12" s="47">
        <f>E4*(1+WACC!B3)/(WACC!B18-WACC!B3)</f>
        <v>99852068.66650489</v>
      </c>
      <c r="E12" s="89"/>
      <c r="J12" s="95" t="s">
        <v>167</v>
      </c>
    </row>
    <row r="13" spans="1:10" ht="14.25" customHeight="1" x14ac:dyDescent="0.35">
      <c r="A13" s="42" t="s">
        <v>135</v>
      </c>
      <c r="B13" s="47">
        <f>B12*E5</f>
        <v>77863424.809204742</v>
      </c>
      <c r="C13" s="96" t="s">
        <v>168</v>
      </c>
      <c r="D13" s="89"/>
      <c r="E13" s="89"/>
    </row>
    <row r="14" spans="1:10" ht="14.25" customHeight="1" x14ac:dyDescent="0.3"/>
    <row r="15" spans="1:10" ht="14.25" customHeight="1" x14ac:dyDescent="0.35">
      <c r="B15" s="89"/>
      <c r="D15" s="47"/>
      <c r="E15" s="45"/>
    </row>
    <row r="16" spans="1:10" ht="14.25" customHeight="1" x14ac:dyDescent="0.35">
      <c r="A16" s="112" t="s">
        <v>136</v>
      </c>
      <c r="B16" s="90">
        <f>B13+B10</f>
        <v>89428889.128372401</v>
      </c>
      <c r="C16" s="96" t="s">
        <v>133</v>
      </c>
      <c r="D16" s="45"/>
    </row>
    <row r="17" spans="1:5" ht="14.25" customHeight="1" x14ac:dyDescent="0.35">
      <c r="A17" s="42" t="s">
        <v>126</v>
      </c>
      <c r="B17" s="91">
        <f>'Balance Sheet'!H23</f>
        <v>14209095</v>
      </c>
      <c r="D17" s="45"/>
    </row>
    <row r="18" spans="1:5" ht="14.25" customHeight="1" x14ac:dyDescent="0.35">
      <c r="A18" s="42" t="s">
        <v>137</v>
      </c>
      <c r="B18" s="91">
        <f>'Balance Sheet'!H6</f>
        <v>18047199.552760962</v>
      </c>
      <c r="D18" s="45"/>
    </row>
    <row r="19" spans="1:5" ht="14.25" customHeight="1" x14ac:dyDescent="0.35">
      <c r="A19" s="113" t="s">
        <v>138</v>
      </c>
      <c r="B19" s="90">
        <f>B16+B18-B17</f>
        <v>93266993.68113336</v>
      </c>
      <c r="C19" s="96" t="s">
        <v>169</v>
      </c>
      <c r="D19" s="114" t="s">
        <v>170</v>
      </c>
    </row>
    <row r="20" spans="1:5" ht="14.25" customHeight="1" x14ac:dyDescent="0.3">
      <c r="A20" s="95" t="s">
        <v>171</v>
      </c>
      <c r="B20" s="101">
        <f>B19/E22</f>
        <v>205.33983038857386</v>
      </c>
    </row>
    <row r="21" spans="1:5" ht="14.25" customHeight="1" x14ac:dyDescent="0.3">
      <c r="E21" s="117" t="s">
        <v>172</v>
      </c>
    </row>
    <row r="22" spans="1:5" ht="14.25" customHeight="1" x14ac:dyDescent="0.3">
      <c r="B22" s="115" t="s">
        <v>173</v>
      </c>
      <c r="C22" s="116"/>
      <c r="E22">
        <v>454208</v>
      </c>
    </row>
    <row r="23" spans="1:5" ht="14.25" customHeight="1" x14ac:dyDescent="0.3">
      <c r="B23" s="116"/>
      <c r="C23" s="116"/>
      <c r="D23" s="116"/>
    </row>
    <row r="24" spans="1:5" ht="14.25" customHeight="1" x14ac:dyDescent="0.3"/>
    <row r="25" spans="1:5" ht="14.25" customHeight="1" x14ac:dyDescent="0.3"/>
    <row r="26" spans="1:5" ht="14.25" customHeight="1" x14ac:dyDescent="0.3"/>
    <row r="27" spans="1:5" ht="14.25" customHeight="1" x14ac:dyDescent="0.3"/>
    <row r="28" spans="1:5" ht="14.25" customHeight="1" x14ac:dyDescent="0.3"/>
    <row r="29" spans="1:5" ht="14.25" customHeight="1" x14ac:dyDescent="0.3"/>
    <row r="30" spans="1:5" ht="14.25" customHeight="1" x14ac:dyDescent="0.3"/>
    <row r="31" spans="1:5" ht="14.25" customHeight="1" x14ac:dyDescent="0.3"/>
    <row r="32" spans="1:5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1">
    <mergeCell ref="A1:F1"/>
  </mergeCells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P&amp;L Input</vt:lpstr>
      <vt:lpstr>Balance Sheet Input</vt:lpstr>
      <vt:lpstr>Revenue Modelling</vt:lpstr>
      <vt:lpstr>Other Items</vt:lpstr>
      <vt:lpstr>Schedules</vt:lpstr>
      <vt:lpstr>P&amp;L</vt:lpstr>
      <vt:lpstr>Balance Sheet</vt:lpstr>
      <vt:lpstr>Cashflow Statement</vt:lpstr>
      <vt:lpstr>WACC</vt:lpstr>
      <vt:lpstr>DCF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sayamgudhka24@gmail.com</dc:creator>
  <cp:lastModifiedBy>a58077</cp:lastModifiedBy>
  <dcterms:created xsi:type="dcterms:W3CDTF">2021-11-01T12:20:11Z</dcterms:created>
  <dcterms:modified xsi:type="dcterms:W3CDTF">2026-06-12T08:03:05Z</dcterms:modified>
</cp:coreProperties>
</file>